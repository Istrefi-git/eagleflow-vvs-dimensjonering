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aninIstrefovic\AppData\Local\Microsoft\Windows\INetCache\Content.Outlook\G5S90BQB\"/>
    </mc:Choice>
  </mc:AlternateContent>
  <xr:revisionPtr revIDLastSave="0" documentId="13_ncr:1_{4BC8F6F3-6838-4DF8-9BA9-0323398F1C3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ternativ 1" sheetId="5" r:id="rId1"/>
    <sheet name="Alternativ 2" sheetId="1" r:id="rId2"/>
    <sheet name="Sum Ventilasjonssystem" sheetId="4" r:id="rId3"/>
  </sheets>
  <definedNames>
    <definedName name="_xlnm._FilterDatabase" localSheetId="0" hidden="1">'Alternativ 1'!$A$15:$U$15</definedName>
    <definedName name="_xlnm._FilterDatabase" localSheetId="1" hidden="1">'Alternativ 2'!$A$15:$U$15</definedName>
    <definedName name="_xlnm._FilterDatabase" localSheetId="2" hidden="1">'Sum Ventilasjonssystem'!#REF!</definedName>
    <definedName name="_xlnm.Print_Titles" localSheetId="0">'Alternativ 1'!$13:$15</definedName>
    <definedName name="_xlnm.Print_Titles" localSheetId="1">'Alternativ 2'!$13:$15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5" l="1"/>
  <c r="K21" i="5"/>
  <c r="I21" i="5"/>
  <c r="E21" i="5"/>
  <c r="C21" i="5"/>
  <c r="T20" i="5"/>
  <c r="R20" i="5"/>
  <c r="P20" i="5"/>
  <c r="M20" i="5"/>
  <c r="K20" i="5"/>
  <c r="J20" i="5"/>
  <c r="G20" i="5"/>
  <c r="F20" i="5"/>
  <c r="T19" i="5"/>
  <c r="R19" i="5"/>
  <c r="P19" i="5"/>
  <c r="M19" i="5"/>
  <c r="K19" i="5"/>
  <c r="J19" i="5"/>
  <c r="G19" i="5"/>
  <c r="F19" i="5"/>
  <c r="T18" i="5"/>
  <c r="R18" i="5"/>
  <c r="P18" i="5"/>
  <c r="M18" i="5"/>
  <c r="K18" i="5"/>
  <c r="J18" i="5"/>
  <c r="G18" i="5"/>
  <c r="F18" i="5"/>
  <c r="T17" i="5"/>
  <c r="R17" i="5"/>
  <c r="P17" i="5"/>
  <c r="M17" i="5"/>
  <c r="K17" i="5"/>
  <c r="J17" i="5"/>
  <c r="G17" i="5"/>
  <c r="F17" i="5"/>
  <c r="T16" i="5"/>
  <c r="R16" i="5"/>
  <c r="P16" i="5"/>
  <c r="P21" i="5" s="1"/>
  <c r="M16" i="5"/>
  <c r="M21" i="5" s="1"/>
  <c r="K16" i="5"/>
  <c r="J16" i="5"/>
  <c r="J21" i="5" s="1"/>
  <c r="G16" i="5"/>
  <c r="G21" i="5" s="1"/>
  <c r="F16" i="5"/>
  <c r="K16" i="1"/>
  <c r="L21" i="1"/>
  <c r="M18" i="1"/>
  <c r="M19" i="1"/>
  <c r="M20" i="1"/>
  <c r="R17" i="1"/>
  <c r="R18" i="1"/>
  <c r="R19" i="1"/>
  <c r="R20" i="1"/>
  <c r="C21" i="1"/>
  <c r="E21" i="1"/>
  <c r="I21" i="1"/>
  <c r="T16" i="1"/>
  <c r="P17" i="1"/>
  <c r="K17" i="1"/>
  <c r="K18" i="1"/>
  <c r="K19" i="1"/>
  <c r="K20" i="1"/>
  <c r="F17" i="1"/>
  <c r="G17" i="1"/>
  <c r="J17" i="1" s="1"/>
  <c r="F18" i="1"/>
  <c r="J18" i="1" s="1"/>
  <c r="G18" i="1"/>
  <c r="F19" i="1"/>
  <c r="J19" i="1" s="1"/>
  <c r="G19" i="1"/>
  <c r="F20" i="1"/>
  <c r="J20" i="1" s="1"/>
  <c r="G20" i="1"/>
  <c r="M16" i="1"/>
  <c r="P20" i="1"/>
  <c r="T20" i="1"/>
  <c r="M20" i="4"/>
  <c r="L20" i="4"/>
  <c r="J20" i="4"/>
  <c r="I20" i="4"/>
  <c r="M19" i="4"/>
  <c r="L19" i="4"/>
  <c r="J19" i="4"/>
  <c r="I19" i="4"/>
  <c r="M18" i="4"/>
  <c r="L18" i="4"/>
  <c r="J18" i="4"/>
  <c r="I18" i="4"/>
  <c r="M17" i="4"/>
  <c r="L17" i="4"/>
  <c r="J17" i="4"/>
  <c r="I17" i="4"/>
  <c r="M16" i="4"/>
  <c r="L16" i="4"/>
  <c r="J16" i="4"/>
  <c r="I16" i="4"/>
  <c r="M15" i="4"/>
  <c r="L15" i="4"/>
  <c r="J15" i="4"/>
  <c r="I15" i="4"/>
  <c r="M14" i="4"/>
  <c r="L14" i="4"/>
  <c r="J14" i="4"/>
  <c r="I14" i="4"/>
  <c r="M13" i="4"/>
  <c r="L13" i="4"/>
  <c r="J13" i="4"/>
  <c r="I13" i="4"/>
  <c r="M12" i="4"/>
  <c r="L12" i="4"/>
  <c r="J12" i="4"/>
  <c r="I12" i="4"/>
  <c r="M11" i="4"/>
  <c r="I11" i="4"/>
  <c r="E4" i="4"/>
  <c r="A1" i="4"/>
  <c r="B1" i="4"/>
  <c r="C1" i="4"/>
  <c r="D1" i="4"/>
  <c r="E1" i="4"/>
  <c r="U1" i="4"/>
  <c r="A2" i="4"/>
  <c r="D2" i="4"/>
  <c r="E2" i="4"/>
  <c r="U2" i="4"/>
  <c r="A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A4" i="4"/>
  <c r="D4" i="4"/>
  <c r="A5" i="4"/>
  <c r="D5" i="4"/>
  <c r="A6" i="4"/>
  <c r="D6" i="4"/>
  <c r="R21" i="5" l="1"/>
  <c r="K21" i="1"/>
  <c r="M21" i="4"/>
  <c r="I21" i="4"/>
  <c r="F16" i="1" l="1"/>
  <c r="J16" i="1" s="1"/>
  <c r="G16" i="1"/>
  <c r="M17" i="1"/>
  <c r="M21" i="1" s="1"/>
  <c r="T17" i="1"/>
  <c r="T18" i="1"/>
  <c r="T19" i="1"/>
  <c r="P18" i="1"/>
  <c r="P19" i="1"/>
  <c r="P16" i="1"/>
  <c r="R16" i="1"/>
  <c r="R21" i="1" s="1"/>
  <c r="P21" i="1" l="1"/>
  <c r="L11" i="4"/>
  <c r="L21" i="4" s="1"/>
  <c r="J11" i="4"/>
  <c r="J21" i="4" s="1"/>
  <c r="G21" i="1"/>
  <c r="J21" i="1" l="1"/>
</calcChain>
</file>

<file path=xl/sharedStrings.xml><?xml version="1.0" encoding="utf-8"?>
<sst xmlns="http://schemas.openxmlformats.org/spreadsheetml/2006/main" count="161" uniqueCount="75">
  <si>
    <t>Prosjekt</t>
  </si>
  <si>
    <t>Ordre nr</t>
  </si>
  <si>
    <t>Anlegg/Bygg/Område</t>
  </si>
  <si>
    <t>Revisjons dato:</t>
  </si>
  <si>
    <t>Hystar Cleanroom Gigafactory</t>
  </si>
  <si>
    <t>Utført av:</t>
  </si>
  <si>
    <t>Utført dato:</t>
  </si>
  <si>
    <t>Notater:</t>
  </si>
  <si>
    <t>Kontroll utført av:</t>
  </si>
  <si>
    <t>Kontroll dato:</t>
  </si>
  <si>
    <t>Gererelle opplysninger og forutsetninger:</t>
  </si>
  <si>
    <t>A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</si>
  <si>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/h/m</t>
    </r>
    <r>
      <rPr>
        <vertAlign val="superscript"/>
        <sz val="10"/>
        <rFont val="Arial"/>
        <family val="2"/>
      </rPr>
      <t>2</t>
    </r>
  </si>
  <si>
    <t>Ventilasjon for materialer</t>
  </si>
  <si>
    <t>TEK17</t>
  </si>
  <si>
    <r>
      <t xml:space="preserve">Frisklufttilførselen beregnes med utgangspunkt i verdiene </t>
    </r>
    <r>
      <rPr>
        <b/>
        <sz val="12"/>
        <color theme="1"/>
        <rFont val="Arial"/>
        <family val="2"/>
      </rPr>
      <t>A + B</t>
    </r>
    <r>
      <rPr>
        <sz val="12"/>
        <color theme="1"/>
        <rFont val="Arial"/>
        <family val="2"/>
      </rPr>
      <t xml:space="preserve"> eller </t>
    </r>
    <r>
      <rPr>
        <b/>
        <sz val="12"/>
        <color theme="1"/>
        <rFont val="Arial"/>
        <family val="2"/>
      </rPr>
      <t>C</t>
    </r>
    <r>
      <rPr>
        <sz val="12"/>
        <color theme="1"/>
        <rFont val="Arial"/>
        <family val="2"/>
      </rPr>
      <t xml:space="preserve">. 
N.B Verdien </t>
    </r>
    <r>
      <rPr>
        <b/>
        <sz val="12"/>
        <color theme="1"/>
        <rFont val="Arial"/>
        <family val="2"/>
      </rPr>
      <t>C</t>
    </r>
    <r>
      <rPr>
        <sz val="12"/>
        <color theme="1"/>
        <rFont val="Arial"/>
        <family val="2"/>
      </rPr>
      <t xml:space="preserve"> overskriver </t>
    </r>
    <r>
      <rPr>
        <b/>
        <sz val="12"/>
        <color theme="1"/>
        <rFont val="Arial"/>
        <family val="2"/>
      </rPr>
      <t xml:space="preserve">A+B </t>
    </r>
    <r>
      <rPr>
        <sz val="12"/>
        <color theme="1"/>
        <rFont val="Arial"/>
        <family val="2"/>
      </rPr>
      <t>i kalkylen</t>
    </r>
  </si>
  <si>
    <t>VAV</t>
  </si>
  <si>
    <t>B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</si>
  <si>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/h/pers.</t>
    </r>
  </si>
  <si>
    <t>Ventilasjon for pers</t>
  </si>
  <si>
    <t>Min</t>
  </si>
  <si>
    <t>C</t>
  </si>
  <si>
    <t>[m³/h]</t>
  </si>
  <si>
    <t>Ventilasjon for prosesser</t>
  </si>
  <si>
    <t>Luftmengde minimum TEK17</t>
  </si>
  <si>
    <t>Luftmengd kravspek</t>
  </si>
  <si>
    <t xml:space="preserve">Foreløpig luftmengde </t>
  </si>
  <si>
    <t>Valgt 
Tilluft</t>
  </si>
  <si>
    <t>Valgt
Avtrekk</t>
  </si>
  <si>
    <t>Systemnr.</t>
  </si>
  <si>
    <t>CAV</t>
  </si>
  <si>
    <t>Kontroll (Tilluft)</t>
  </si>
  <si>
    <t xml:space="preserve">Kjøleeffekt </t>
  </si>
  <si>
    <t>Plan</t>
  </si>
  <si>
    <t xml:space="preserve">Romnr. </t>
  </si>
  <si>
    <t>Areal</t>
  </si>
  <si>
    <t>Romnavn / Funksjon</t>
  </si>
  <si>
    <t>Person</t>
  </si>
  <si>
    <t xml:space="preserve">TEK 17 </t>
  </si>
  <si>
    <t xml:space="preserve">Kravspek </t>
  </si>
  <si>
    <t>Maks</t>
  </si>
  <si>
    <t>Konstant</t>
  </si>
  <si>
    <r>
      <t>T</t>
    </r>
    <r>
      <rPr>
        <b/>
        <vertAlign val="subscript"/>
        <sz val="10"/>
        <rFont val="Arial"/>
        <family val="2"/>
      </rPr>
      <t>tilluft</t>
    </r>
  </si>
  <si>
    <t>Kommentar</t>
  </si>
  <si>
    <t>[m²]</t>
  </si>
  <si>
    <t>[Stk.]</t>
  </si>
  <si>
    <r>
      <t>[m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/h/m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]</t>
    </r>
  </si>
  <si>
    <r>
      <t>[m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/h/pers]</t>
    </r>
  </si>
  <si>
    <r>
      <t>[m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/hm</t>
    </r>
    <r>
      <rPr>
        <vertAlign val="superscript"/>
        <sz val="10"/>
        <rFont val="Arial"/>
        <family val="2"/>
      </rPr>
      <t>2]</t>
    </r>
  </si>
  <si>
    <r>
      <t>[m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/h]</t>
    </r>
  </si>
  <si>
    <r>
      <t>T</t>
    </r>
    <r>
      <rPr>
        <b/>
        <vertAlign val="subscript"/>
        <sz val="10"/>
        <rFont val="Arial"/>
        <family val="2"/>
      </rPr>
      <t>avtrekk</t>
    </r>
  </si>
  <si>
    <t>ISO 7 (30 luftskift) 181 m2 (4,1m),12,4m2(3,6m), 136m2(2,6m)</t>
  </si>
  <si>
    <t>30 luftskift (12 luftskift i gult.</t>
  </si>
  <si>
    <t>Sum/ Snitt</t>
  </si>
  <si>
    <t>SUM pr Ventilasjonssystem</t>
  </si>
  <si>
    <t>Sys.nr</t>
  </si>
  <si>
    <t>Betjener</t>
  </si>
  <si>
    <t>Tilluft</t>
  </si>
  <si>
    <t>Avtrekk</t>
  </si>
  <si>
    <t>VAV - Min</t>
  </si>
  <si>
    <t>CAV-Konstant</t>
  </si>
  <si>
    <t>360.001</t>
  </si>
  <si>
    <t>360.002</t>
  </si>
  <si>
    <t>360.003</t>
  </si>
  <si>
    <t>360.004</t>
  </si>
  <si>
    <t>360.005</t>
  </si>
  <si>
    <t>360.006</t>
  </si>
  <si>
    <t>360.007</t>
  </si>
  <si>
    <t>360.008</t>
  </si>
  <si>
    <t>360.009</t>
  </si>
  <si>
    <t>360.010</t>
  </si>
  <si>
    <t>SUM</t>
  </si>
  <si>
    <t>BioSort AS Renrom</t>
  </si>
  <si>
    <t>ISO 8 (12 luftskift) 244m2 (2,7m)</t>
  </si>
  <si>
    <t>ISO 8 (12 luftskift) 60m2 (2,4m)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</si>
</sst>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\ %"/>
    <numFmt numFmtId="165" formatCode="0.0"/>
    <numFmt numFmtId="166" formatCode="#,##0.0"/>
    <numFmt numFmtId="167" formatCode="#.0&quot; °C&quot;"/>
    <numFmt numFmtId="168" formatCode="#,###&quot; W&quot;"/>
    <numFmt numFmtId="169" formatCode="#,###"/>
    <numFmt numFmtId="170" formatCode="0.00&quot; (Snitt)&quot;"/>
    <numFmt numFmtId="171" formatCode="0&quot; (Snitt)&quot;"/>
  </numFmts>
  <fonts count="28" x14ac:knownFonts="1">
    <font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b/>
      <sz val="10"/>
      <color indexed="10"/>
      <name val="Arial"/>
      <family val="2"/>
    </font>
    <font>
      <b/>
      <sz val="8"/>
      <color indexed="12"/>
      <name val="Arial"/>
      <family val="2"/>
    </font>
    <font>
      <vertAlign val="superscript"/>
      <sz val="11"/>
      <color theme="1"/>
      <name val="Calibri"/>
      <family val="2"/>
      <scheme val="minor"/>
    </font>
    <font>
      <b/>
      <sz val="10"/>
      <color rgb="FF0000FF"/>
      <name val="Arial"/>
      <family val="2"/>
    </font>
    <font>
      <b/>
      <vertAlign val="subscript"/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48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b/>
      <sz val="12"/>
      <color indexed="48"/>
      <name val="Arial"/>
      <family val="2"/>
    </font>
    <font>
      <b/>
      <sz val="12"/>
      <color indexed="10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rgb="FF0000FF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right"/>
      <protection locked="0"/>
    </xf>
    <xf numFmtId="0" fontId="1" fillId="2" borderId="0" xfId="0" applyFont="1" applyFill="1" applyAlignment="1" applyProtection="1">
      <alignment horizontal="left"/>
      <protection locked="0"/>
    </xf>
    <xf numFmtId="0" fontId="3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 applyProtection="1">
      <alignment horizontal="center"/>
      <protection locked="0"/>
    </xf>
    <xf numFmtId="1" fontId="1" fillId="2" borderId="10" xfId="0" applyNumberFormat="1" applyFont="1" applyFill="1" applyBorder="1" applyAlignment="1" applyProtection="1">
      <alignment horizontal="center"/>
      <protection locked="0"/>
    </xf>
    <xf numFmtId="165" fontId="1" fillId="2" borderId="10" xfId="0" applyNumberFormat="1" applyFont="1" applyFill="1" applyBorder="1" applyAlignment="1" applyProtection="1">
      <alignment horizontal="center"/>
      <protection locked="0"/>
    </xf>
    <xf numFmtId="1" fontId="1" fillId="2" borderId="10" xfId="0" applyNumberFormat="1" applyFont="1" applyFill="1" applyBorder="1" applyAlignment="1" applyProtection="1">
      <alignment horizontal="left"/>
      <protection locked="0"/>
    </xf>
    <xf numFmtId="1" fontId="1" fillId="2" borderId="0" xfId="0" applyNumberFormat="1" applyFont="1" applyFill="1" applyAlignment="1" applyProtection="1">
      <alignment horizontal="left"/>
      <protection locked="0"/>
    </xf>
    <xf numFmtId="1" fontId="1" fillId="2" borderId="0" xfId="0" applyNumberFormat="1" applyFont="1" applyFill="1" applyAlignment="1" applyProtection="1">
      <alignment horizontal="center"/>
      <protection locked="0"/>
    </xf>
    <xf numFmtId="1" fontId="6" fillId="2" borderId="11" xfId="0" applyNumberFormat="1" applyFont="1" applyFill="1" applyBorder="1" applyAlignment="1" applyProtection="1">
      <alignment horizontal="left"/>
      <protection locked="0"/>
    </xf>
    <xf numFmtId="1" fontId="1" fillId="2" borderId="26" xfId="0" applyNumberFormat="1" applyFont="1" applyFill="1" applyBorder="1" applyAlignment="1" applyProtection="1">
      <alignment horizontal="center"/>
      <protection locked="0"/>
    </xf>
    <xf numFmtId="165" fontId="1" fillId="2" borderId="26" xfId="0" applyNumberFormat="1" applyFont="1" applyFill="1" applyBorder="1" applyAlignment="1" applyProtection="1">
      <alignment horizontal="center"/>
      <protection locked="0"/>
    </xf>
    <xf numFmtId="1" fontId="1" fillId="2" borderId="26" xfId="0" applyNumberFormat="1" applyFont="1" applyFill="1" applyBorder="1" applyAlignment="1" applyProtection="1">
      <alignment horizontal="left"/>
      <protection locked="0"/>
    </xf>
    <xf numFmtId="1" fontId="1" fillId="2" borderId="19" xfId="0" applyNumberFormat="1" applyFont="1" applyFill="1" applyBorder="1" applyAlignment="1" applyProtection="1">
      <alignment horizontal="center"/>
      <protection locked="0"/>
    </xf>
    <xf numFmtId="1" fontId="1" fillId="2" borderId="22" xfId="0" applyNumberFormat="1" applyFont="1" applyFill="1" applyBorder="1" applyAlignment="1" applyProtection="1">
      <alignment horizontal="center"/>
      <protection locked="0"/>
    </xf>
    <xf numFmtId="166" fontId="1" fillId="2" borderId="31" xfId="0" applyNumberFormat="1" applyFont="1" applyFill="1" applyBorder="1" applyAlignment="1" applyProtection="1">
      <alignment horizontal="center"/>
      <protection locked="0"/>
    </xf>
    <xf numFmtId="166" fontId="1" fillId="2" borderId="12" xfId="0" applyNumberFormat="1" applyFont="1" applyFill="1" applyBorder="1" applyAlignment="1" applyProtection="1">
      <alignment horizontal="center"/>
      <protection locked="0"/>
    </xf>
    <xf numFmtId="0" fontId="1" fillId="2" borderId="3" xfId="0" applyFont="1" applyFill="1" applyBorder="1" applyAlignment="1" applyProtection="1">
      <alignment horizontal="center"/>
      <protection locked="0"/>
    </xf>
    <xf numFmtId="0" fontId="1" fillId="2" borderId="7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0" fillId="2" borderId="9" xfId="0" applyFill="1" applyBorder="1" applyAlignment="1">
      <alignment vertical="center" wrapText="1"/>
    </xf>
    <xf numFmtId="0" fontId="1" fillId="2" borderId="6" xfId="0" applyFont="1" applyFill="1" applyBorder="1" applyAlignment="1" applyProtection="1">
      <alignment horizontal="center"/>
      <protection locked="0"/>
    </xf>
    <xf numFmtId="1" fontId="1" fillId="2" borderId="6" xfId="0" applyNumberFormat="1" applyFont="1" applyFill="1" applyBorder="1" applyAlignment="1" applyProtection="1">
      <alignment horizontal="center"/>
      <protection locked="0"/>
    </xf>
    <xf numFmtId="169" fontId="8" fillId="2" borderId="27" xfId="0" applyNumberFormat="1" applyFont="1" applyFill="1" applyBorder="1" applyAlignment="1" applyProtection="1">
      <alignment horizontal="center"/>
      <protection locked="0"/>
    </xf>
    <xf numFmtId="169" fontId="5" fillId="2" borderId="29" xfId="0" applyNumberFormat="1" applyFont="1" applyFill="1" applyBorder="1" applyAlignment="1" applyProtection="1">
      <alignment horizontal="center"/>
      <protection locked="0"/>
    </xf>
    <xf numFmtId="169" fontId="8" fillId="2" borderId="20" xfId="0" applyNumberFormat="1" applyFont="1" applyFill="1" applyBorder="1" applyAlignment="1" applyProtection="1">
      <alignment horizontal="center"/>
      <protection locked="0"/>
    </xf>
    <xf numFmtId="169" fontId="1" fillId="2" borderId="33" xfId="0" applyNumberFormat="1" applyFont="1" applyFill="1" applyBorder="1" applyAlignment="1" applyProtection="1">
      <alignment horizontal="center"/>
      <protection locked="0"/>
    </xf>
    <xf numFmtId="169" fontId="3" fillId="2" borderId="29" xfId="0" applyNumberFormat="1" applyFont="1" applyFill="1" applyBorder="1" applyAlignment="1" applyProtection="1">
      <alignment horizontal="center"/>
      <protection locked="0"/>
    </xf>
    <xf numFmtId="169" fontId="3" fillId="2" borderId="22" xfId="0" applyNumberFormat="1" applyFont="1" applyFill="1" applyBorder="1" applyAlignment="1" applyProtection="1">
      <alignment horizontal="center"/>
      <protection locked="0"/>
    </xf>
    <xf numFmtId="0" fontId="1" fillId="2" borderId="27" xfId="0" applyFont="1" applyFill="1" applyBorder="1" applyAlignment="1" applyProtection="1">
      <alignment horizontal="center"/>
      <protection locked="0"/>
    </xf>
    <xf numFmtId="0" fontId="11" fillId="0" borderId="0" xfId="0" applyFont="1"/>
    <xf numFmtId="0" fontId="10" fillId="0" borderId="16" xfId="0" applyFont="1" applyBorder="1"/>
    <xf numFmtId="0" fontId="11" fillId="0" borderId="16" xfId="0" applyFont="1" applyBorder="1"/>
    <xf numFmtId="3" fontId="15" fillId="0" borderId="16" xfId="0" applyNumberFormat="1" applyFont="1" applyBorder="1" applyAlignment="1">
      <alignment horizontal="center"/>
    </xf>
    <xf numFmtId="3" fontId="16" fillId="0" borderId="16" xfId="0" applyNumberFormat="1" applyFont="1" applyBorder="1" applyAlignment="1">
      <alignment horizontal="center"/>
    </xf>
    <xf numFmtId="3" fontId="17" fillId="0" borderId="16" xfId="0" applyNumberFormat="1" applyFont="1" applyBorder="1" applyAlignment="1">
      <alignment horizontal="center"/>
    </xf>
    <xf numFmtId="0" fontId="11" fillId="0" borderId="17" xfId="0" applyFont="1" applyBorder="1"/>
    <xf numFmtId="1" fontId="12" fillId="0" borderId="17" xfId="0" applyNumberFormat="1" applyFont="1" applyBorder="1" applyAlignment="1" applyProtection="1">
      <alignment horizontal="center"/>
      <protection locked="0"/>
    </xf>
    <xf numFmtId="1" fontId="13" fillId="0" borderId="17" xfId="0" applyNumberFormat="1" applyFont="1" applyBorder="1" applyAlignment="1" applyProtection="1">
      <alignment horizontal="center"/>
      <protection locked="0"/>
    </xf>
    <xf numFmtId="1" fontId="14" fillId="0" borderId="17" xfId="0" applyNumberFormat="1" applyFont="1" applyBorder="1" applyAlignment="1" applyProtection="1">
      <alignment horizontal="center"/>
      <protection locked="0"/>
    </xf>
    <xf numFmtId="0" fontId="11" fillId="0" borderId="39" xfId="0" applyFont="1" applyBorder="1"/>
    <xf numFmtId="0" fontId="11" fillId="0" borderId="41" xfId="0" applyFont="1" applyBorder="1"/>
    <xf numFmtId="2" fontId="14" fillId="2" borderId="8" xfId="0" applyNumberFormat="1" applyFont="1" applyFill="1" applyBorder="1" applyAlignment="1">
      <alignment vertical="center"/>
    </xf>
    <xf numFmtId="0" fontId="10" fillId="0" borderId="0" xfId="0" applyFont="1"/>
    <xf numFmtId="0" fontId="19" fillId="2" borderId="1" xfId="0" applyFont="1" applyFill="1" applyBorder="1"/>
    <xf numFmtId="0" fontId="20" fillId="2" borderId="2" xfId="0" applyFont="1" applyFill="1" applyBorder="1"/>
    <xf numFmtId="0" fontId="20" fillId="2" borderId="3" xfId="0" applyFont="1" applyFill="1" applyBorder="1"/>
    <xf numFmtId="0" fontId="21" fillId="2" borderId="4" xfId="0" applyFont="1" applyFill="1" applyBorder="1"/>
    <xf numFmtId="0" fontId="21" fillId="2" borderId="1" xfId="0" applyFont="1" applyFill="1" applyBorder="1"/>
    <xf numFmtId="0" fontId="20" fillId="0" borderId="0" xfId="0" applyFont="1"/>
    <xf numFmtId="0" fontId="21" fillId="2" borderId="32" xfId="0" applyFont="1" applyFill="1" applyBorder="1" applyAlignment="1">
      <alignment vertical="top" wrapText="1"/>
    </xf>
    <xf numFmtId="0" fontId="14" fillId="2" borderId="2" xfId="0" applyFont="1" applyFill="1" applyBorder="1" applyAlignment="1">
      <alignment vertical="top"/>
    </xf>
    <xf numFmtId="0" fontId="14" fillId="2" borderId="3" xfId="0" applyFont="1" applyFill="1" applyBorder="1" applyAlignment="1">
      <alignment vertical="top"/>
    </xf>
    <xf numFmtId="49" fontId="21" fillId="2" borderId="4" xfId="0" applyNumberFormat="1" applyFont="1" applyFill="1" applyBorder="1" applyAlignment="1">
      <alignment horizontal="left"/>
    </xf>
    <xf numFmtId="14" fontId="14" fillId="2" borderId="8" xfId="0" applyNumberFormat="1" applyFont="1" applyFill="1" applyBorder="1" applyAlignment="1">
      <alignment horizontal="left" vertical="top"/>
    </xf>
    <xf numFmtId="14" fontId="14" fillId="2" borderId="8" xfId="0" applyNumberFormat="1" applyFont="1" applyFill="1" applyBorder="1" applyAlignment="1">
      <alignment vertical="top" wrapText="1"/>
    </xf>
    <xf numFmtId="1" fontId="5" fillId="2" borderId="18" xfId="0" applyNumberFormat="1" applyFont="1" applyFill="1" applyBorder="1" applyAlignment="1" applyProtection="1">
      <alignment horizontal="center"/>
      <protection locked="0"/>
    </xf>
    <xf numFmtId="1" fontId="5" fillId="2" borderId="20" xfId="0" applyNumberFormat="1" applyFont="1" applyFill="1" applyBorder="1" applyAlignment="1" applyProtection="1">
      <alignment horizontal="center"/>
      <protection locked="0"/>
    </xf>
    <xf numFmtId="0" fontId="1" fillId="2" borderId="34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1" fontId="1" fillId="2" borderId="21" xfId="0" applyNumberFormat="1" applyFont="1" applyFill="1" applyBorder="1" applyAlignment="1">
      <alignment horizontal="center"/>
    </xf>
    <xf numFmtId="0" fontId="3" fillId="4" borderId="4" xfId="0" applyFont="1" applyFill="1" applyBorder="1" applyAlignment="1" applyProtection="1">
      <alignment horizontal="center"/>
      <protection locked="0"/>
    </xf>
    <xf numFmtId="0" fontId="10" fillId="5" borderId="39" xfId="0" applyFont="1" applyFill="1" applyBorder="1"/>
    <xf numFmtId="0" fontId="10" fillId="5" borderId="41" xfId="0" applyFont="1" applyFill="1" applyBorder="1"/>
    <xf numFmtId="0" fontId="0" fillId="5" borderId="41" xfId="0" applyFill="1" applyBorder="1"/>
    <xf numFmtId="0" fontId="0" fillId="5" borderId="40" xfId="0" applyFill="1" applyBorder="1"/>
    <xf numFmtId="0" fontId="10" fillId="5" borderId="17" xfId="0" applyFont="1" applyFill="1" applyBorder="1"/>
    <xf numFmtId="0" fontId="10" fillId="5" borderId="17" xfId="0" applyFont="1" applyFill="1" applyBorder="1" applyAlignment="1">
      <alignment wrapText="1"/>
    </xf>
    <xf numFmtId="49" fontId="3" fillId="4" borderId="35" xfId="0" applyNumberFormat="1" applyFont="1" applyFill="1" applyBorder="1" applyAlignment="1">
      <alignment horizontal="center" vertical="center"/>
    </xf>
    <xf numFmtId="49" fontId="3" fillId="4" borderId="37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7" xfId="0" applyFont="1" applyFill="1" applyBorder="1" applyAlignment="1" applyProtection="1">
      <alignment horizontal="center" vertical="center"/>
      <protection locked="0"/>
    </xf>
    <xf numFmtId="167" fontId="8" fillId="2" borderId="17" xfId="0" applyNumberFormat="1" applyFont="1" applyFill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left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34" xfId="0" applyFont="1" applyFill="1" applyBorder="1" applyAlignment="1">
      <alignment horizontal="center" vertical="center" wrapText="1"/>
    </xf>
    <xf numFmtId="0" fontId="3" fillId="4" borderId="37" xfId="0" applyFont="1" applyFill="1" applyBorder="1" applyAlignment="1">
      <alignment horizontal="center" vertical="center" wrapText="1"/>
    </xf>
    <xf numFmtId="49" fontId="3" fillId="4" borderId="34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1" fillId="2" borderId="0" xfId="0" applyFont="1" applyFill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left"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3" fillId="4" borderId="8" xfId="0" applyFont="1" applyFill="1" applyBorder="1" applyAlignment="1" applyProtection="1">
      <alignment horizontal="center" vertical="center"/>
      <protection locked="0"/>
    </xf>
    <xf numFmtId="1" fontId="1" fillId="2" borderId="0" xfId="0" applyNumberFormat="1" applyFont="1" applyFill="1" applyAlignment="1" applyProtection="1">
      <alignment horizontal="center" vertical="center"/>
      <protection locked="0"/>
    </xf>
    <xf numFmtId="0" fontId="23" fillId="2" borderId="0" xfId="0" applyFont="1" applyFill="1" applyAlignment="1" applyProtection="1">
      <alignment horizontal="left" vertical="center"/>
      <protection locked="0"/>
    </xf>
    <xf numFmtId="0" fontId="1" fillId="2" borderId="43" xfId="0" applyFont="1" applyFill="1" applyBorder="1" applyAlignment="1" applyProtection="1">
      <alignment horizontal="center" vertical="center"/>
      <protection locked="0"/>
    </xf>
    <xf numFmtId="0" fontId="22" fillId="2" borderId="0" xfId="0" applyFont="1" applyFill="1" applyAlignment="1">
      <alignment horizontal="left"/>
    </xf>
    <xf numFmtId="0" fontId="2" fillId="4" borderId="5" xfId="0" applyFont="1" applyFill="1" applyBorder="1" applyAlignment="1">
      <alignment horizontal="center" vertical="center"/>
    </xf>
    <xf numFmtId="2" fontId="3" fillId="4" borderId="48" xfId="0" applyNumberFormat="1" applyFont="1" applyFill="1" applyBorder="1" applyAlignment="1">
      <alignment horizontal="center" vertical="center" wrapText="1"/>
    </xf>
    <xf numFmtId="2" fontId="3" fillId="4" borderId="49" xfId="0" applyNumberFormat="1" applyFont="1" applyFill="1" applyBorder="1" applyAlignment="1">
      <alignment horizontal="left" vertical="center"/>
    </xf>
    <xf numFmtId="2" fontId="2" fillId="4" borderId="50" xfId="0" applyNumberFormat="1" applyFont="1" applyFill="1" applyBorder="1" applyAlignment="1">
      <alignment horizontal="center" vertical="center"/>
    </xf>
    <xf numFmtId="2" fontId="2" fillId="4" borderId="51" xfId="0" applyNumberFormat="1" applyFont="1" applyFill="1" applyBorder="1" applyAlignment="1">
      <alignment horizontal="center" vertical="center"/>
    </xf>
    <xf numFmtId="0" fontId="3" fillId="4" borderId="52" xfId="0" applyFont="1" applyFill="1" applyBorder="1" applyAlignment="1">
      <alignment horizontal="center" vertical="center"/>
    </xf>
    <xf numFmtId="0" fontId="3" fillId="4" borderId="48" xfId="0" applyFont="1" applyFill="1" applyBorder="1" applyAlignment="1">
      <alignment horizontal="center" vertical="center"/>
    </xf>
    <xf numFmtId="0" fontId="3" fillId="4" borderId="53" xfId="0" applyFont="1" applyFill="1" applyBorder="1" applyAlignment="1">
      <alignment horizontal="center" vertical="center"/>
    </xf>
    <xf numFmtId="0" fontId="3" fillId="4" borderId="49" xfId="0" applyFont="1" applyFill="1" applyBorder="1" applyAlignment="1">
      <alignment horizontal="center" vertical="center"/>
    </xf>
    <xf numFmtId="0" fontId="2" fillId="4" borderId="50" xfId="0" applyFont="1" applyFill="1" applyBorder="1" applyAlignment="1">
      <alignment horizontal="center" vertical="center"/>
    </xf>
    <xf numFmtId="0" fontId="2" fillId="4" borderId="54" xfId="0" applyFont="1" applyFill="1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/>
    </xf>
    <xf numFmtId="0" fontId="3" fillId="4" borderId="48" xfId="0" applyFont="1" applyFill="1" applyBorder="1" applyAlignment="1">
      <alignment vertical="center" wrapText="1"/>
    </xf>
    <xf numFmtId="0" fontId="3" fillId="4" borderId="49" xfId="0" applyFont="1" applyFill="1" applyBorder="1" applyAlignment="1">
      <alignment vertical="center" wrapText="1"/>
    </xf>
    <xf numFmtId="49" fontId="2" fillId="4" borderId="50" xfId="0" applyNumberFormat="1" applyFont="1" applyFill="1" applyBorder="1" applyAlignment="1">
      <alignment horizontal="center" vertical="center"/>
    </xf>
    <xf numFmtId="49" fontId="3" fillId="4" borderId="48" xfId="0" applyNumberFormat="1" applyFont="1" applyFill="1" applyBorder="1" applyAlignment="1">
      <alignment vertical="center"/>
    </xf>
    <xf numFmtId="49" fontId="3" fillId="4" borderId="53" xfId="0" applyNumberFormat="1" applyFont="1" applyFill="1" applyBorder="1" applyAlignment="1">
      <alignment horizontal="center" vertical="center"/>
    </xf>
    <xf numFmtId="49" fontId="3" fillId="4" borderId="49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3" fillId="4" borderId="44" xfId="0" applyFont="1" applyFill="1" applyBorder="1" applyAlignment="1">
      <alignment horizontal="center" vertical="center" wrapText="1"/>
    </xf>
    <xf numFmtId="0" fontId="3" fillId="4" borderId="52" xfId="0" applyFont="1" applyFill="1" applyBorder="1" applyAlignment="1">
      <alignment horizontal="center" vertical="center" wrapText="1"/>
    </xf>
    <xf numFmtId="169" fontId="8" fillId="3" borderId="28" xfId="0" applyNumberFormat="1" applyFont="1" applyFill="1" applyBorder="1" applyAlignment="1">
      <alignment horizontal="center"/>
    </xf>
    <xf numFmtId="169" fontId="26" fillId="3" borderId="18" xfId="0" applyNumberFormat="1" applyFont="1" applyFill="1" applyBorder="1" applyAlignment="1">
      <alignment horizontal="center"/>
    </xf>
    <xf numFmtId="169" fontId="26" fillId="3" borderId="19" xfId="0" applyNumberFormat="1" applyFont="1" applyFill="1" applyBorder="1" applyAlignment="1">
      <alignment horizontal="center"/>
    </xf>
    <xf numFmtId="169" fontId="26" fillId="3" borderId="20" xfId="0" applyNumberFormat="1" applyFont="1" applyFill="1" applyBorder="1" applyAlignment="1">
      <alignment horizontal="center"/>
    </xf>
    <xf numFmtId="169" fontId="26" fillId="3" borderId="22" xfId="0" applyNumberFormat="1" applyFont="1" applyFill="1" applyBorder="1" applyAlignment="1">
      <alignment horizontal="center"/>
    </xf>
    <xf numFmtId="165" fontId="24" fillId="3" borderId="26" xfId="0" applyNumberFormat="1" applyFont="1" applyFill="1" applyBorder="1" applyAlignment="1">
      <alignment horizontal="center"/>
    </xf>
    <xf numFmtId="168" fontId="8" fillId="3" borderId="30" xfId="0" applyNumberFormat="1" applyFont="1" applyFill="1" applyBorder="1" applyAlignment="1">
      <alignment horizontal="center"/>
    </xf>
    <xf numFmtId="9" fontId="1" fillId="0" borderId="17" xfId="0" applyNumberFormat="1" applyFont="1" applyBorder="1" applyAlignment="1" applyProtection="1">
      <alignment horizontal="center"/>
      <protection locked="0"/>
    </xf>
    <xf numFmtId="165" fontId="3" fillId="3" borderId="15" xfId="0" applyNumberFormat="1" applyFont="1" applyFill="1" applyBorder="1" applyAlignment="1">
      <alignment horizontal="center" vertical="center"/>
    </xf>
    <xf numFmtId="1" fontId="3" fillId="3" borderId="14" xfId="0" applyNumberFormat="1" applyFont="1" applyFill="1" applyBorder="1" applyAlignment="1">
      <alignment horizontal="left" vertical="center"/>
    </xf>
    <xf numFmtId="1" fontId="3" fillId="3" borderId="15" xfId="0" applyNumberFormat="1" applyFont="1" applyFill="1" applyBorder="1" applyAlignment="1">
      <alignment horizontal="center" vertical="center"/>
    </xf>
    <xf numFmtId="2" fontId="3" fillId="3" borderId="23" xfId="0" applyNumberFormat="1" applyFont="1" applyFill="1" applyBorder="1" applyAlignment="1">
      <alignment horizontal="center" vertical="center"/>
    </xf>
    <xf numFmtId="171" fontId="3" fillId="3" borderId="15" xfId="0" applyNumberFormat="1" applyFont="1" applyFill="1" applyBorder="1" applyAlignment="1">
      <alignment horizontal="center" vertical="center"/>
    </xf>
    <xf numFmtId="1" fontId="3" fillId="3" borderId="25" xfId="0" applyNumberFormat="1" applyFont="1" applyFill="1" applyBorder="1" applyAlignment="1">
      <alignment horizontal="center" vertical="center"/>
    </xf>
    <xf numFmtId="170" fontId="3" fillId="3" borderId="15" xfId="0" applyNumberFormat="1" applyFont="1" applyFill="1" applyBorder="1" applyAlignment="1">
      <alignment horizontal="center" vertical="center"/>
    </xf>
    <xf numFmtId="169" fontId="8" fillId="3" borderId="13" xfId="0" applyNumberFormat="1" applyFont="1" applyFill="1" applyBorder="1" applyAlignment="1">
      <alignment horizontal="center" vertical="center"/>
    </xf>
    <xf numFmtId="169" fontId="8" fillId="3" borderId="25" xfId="0" applyNumberFormat="1" applyFont="1" applyFill="1" applyBorder="1" applyAlignment="1">
      <alignment horizontal="center" vertical="center"/>
    </xf>
    <xf numFmtId="169" fontId="8" fillId="3" borderId="23" xfId="0" applyNumberFormat="1" applyFont="1" applyFill="1" applyBorder="1" applyAlignment="1">
      <alignment horizontal="center" vertical="center"/>
    </xf>
    <xf numFmtId="169" fontId="5" fillId="3" borderId="25" xfId="0" applyNumberFormat="1" applyFont="1" applyFill="1" applyBorder="1" applyAlignment="1">
      <alignment horizontal="center" vertical="center"/>
    </xf>
    <xf numFmtId="49" fontId="3" fillId="3" borderId="23" xfId="0" applyNumberFormat="1" applyFont="1" applyFill="1" applyBorder="1" applyAlignment="1">
      <alignment horizontal="center" vertical="center"/>
    </xf>
    <xf numFmtId="169" fontId="3" fillId="3" borderId="36" xfId="0" applyNumberFormat="1" applyFont="1" applyFill="1" applyBorder="1" applyAlignment="1">
      <alignment horizontal="center" vertical="center"/>
    </xf>
    <xf numFmtId="169" fontId="3" fillId="3" borderId="24" xfId="0" applyNumberFormat="1" applyFont="1" applyFill="1" applyBorder="1" applyAlignment="1">
      <alignment horizontal="center" vertical="center"/>
    </xf>
    <xf numFmtId="169" fontId="3" fillId="3" borderId="25" xfId="0" applyNumberFormat="1" applyFont="1" applyFill="1" applyBorder="1" applyAlignment="1">
      <alignment horizontal="center" vertical="center"/>
    </xf>
    <xf numFmtId="3" fontId="5" fillId="3" borderId="23" xfId="0" applyNumberFormat="1" applyFont="1" applyFill="1" applyBorder="1" applyAlignment="1">
      <alignment horizontal="center" vertical="center"/>
    </xf>
    <xf numFmtId="3" fontId="5" fillId="3" borderId="14" xfId="0" applyNumberFormat="1" applyFont="1" applyFill="1" applyBorder="1" applyAlignment="1">
      <alignment horizontal="center" vertical="center"/>
    </xf>
    <xf numFmtId="1" fontId="1" fillId="3" borderId="15" xfId="0" applyNumberFormat="1" applyFont="1" applyFill="1" applyBorder="1" applyAlignment="1" applyProtection="1">
      <alignment horizontal="center" vertical="center"/>
      <protection locked="0"/>
    </xf>
    <xf numFmtId="1" fontId="6" fillId="2" borderId="30" xfId="0" applyNumberFormat="1" applyFont="1" applyFill="1" applyBorder="1" applyAlignment="1" applyProtection="1">
      <alignment horizontal="left" wrapText="1"/>
      <protection locked="0"/>
    </xf>
    <xf numFmtId="169" fontId="1" fillId="6" borderId="38" xfId="0" applyNumberFormat="1" applyFont="1" applyFill="1" applyBorder="1" applyAlignment="1" applyProtection="1">
      <alignment horizontal="center"/>
      <protection locked="0"/>
    </xf>
    <xf numFmtId="0" fontId="18" fillId="2" borderId="1" xfId="0" applyFont="1" applyFill="1" applyBorder="1" applyAlignment="1" applyProtection="1">
      <alignment horizontal="left" vertical="center" wrapText="1"/>
      <protection locked="0"/>
    </xf>
    <xf numFmtId="0" fontId="18" fillId="2" borderId="2" xfId="0" applyFont="1" applyFill="1" applyBorder="1" applyAlignment="1" applyProtection="1">
      <alignment horizontal="left" vertical="center" wrapText="1"/>
      <protection locked="0"/>
    </xf>
    <xf numFmtId="0" fontId="18" fillId="2" borderId="3" xfId="0" applyFont="1" applyFill="1" applyBorder="1" applyAlignment="1" applyProtection="1">
      <alignment horizontal="left" vertical="center" wrapText="1"/>
      <protection locked="0"/>
    </xf>
    <xf numFmtId="0" fontId="18" fillId="2" borderId="42" xfId="0" applyFont="1" applyFill="1" applyBorder="1" applyAlignment="1" applyProtection="1">
      <alignment horizontal="left" vertical="center" wrapText="1"/>
      <protection locked="0"/>
    </xf>
    <xf numFmtId="0" fontId="18" fillId="2" borderId="0" xfId="0" applyFont="1" applyFill="1" applyAlignment="1" applyProtection="1">
      <alignment horizontal="left" vertical="center" wrapText="1"/>
      <protection locked="0"/>
    </xf>
    <xf numFmtId="0" fontId="18" fillId="2" borderId="9" xfId="0" applyFont="1" applyFill="1" applyBorder="1" applyAlignment="1" applyProtection="1">
      <alignment horizontal="left" vertical="center" wrapText="1"/>
      <protection locked="0"/>
    </xf>
    <xf numFmtId="0" fontId="18" fillId="2" borderId="5" xfId="0" applyFont="1" applyFill="1" applyBorder="1" applyAlignment="1" applyProtection="1">
      <alignment horizontal="left" vertical="center" wrapText="1"/>
      <protection locked="0"/>
    </xf>
    <xf numFmtId="0" fontId="18" fillId="2" borderId="6" xfId="0" applyFont="1" applyFill="1" applyBorder="1" applyAlignment="1" applyProtection="1">
      <alignment horizontal="left" vertical="center" wrapText="1"/>
      <protection locked="0"/>
    </xf>
    <xf numFmtId="0" fontId="18" fillId="2" borderId="7" xfId="0" applyFont="1" applyFill="1" applyBorder="1" applyAlignment="1" applyProtection="1">
      <alignment horizontal="left" vertical="center" wrapText="1"/>
      <protection locked="0"/>
    </xf>
    <xf numFmtId="0" fontId="3" fillId="4" borderId="45" xfId="0" applyFont="1" applyFill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 vertical="center" wrapText="1"/>
    </xf>
    <xf numFmtId="0" fontId="3" fillId="4" borderId="47" xfId="0" applyFont="1" applyFill="1" applyBorder="1" applyAlignment="1">
      <alignment horizontal="center" vertical="center" wrapText="1"/>
    </xf>
    <xf numFmtId="2" fontId="3" fillId="4" borderId="18" xfId="0" applyNumberFormat="1" applyFont="1" applyFill="1" applyBorder="1" applyAlignment="1">
      <alignment horizontal="center" vertical="center" wrapText="1"/>
    </xf>
    <xf numFmtId="2" fontId="3" fillId="4" borderId="19" xfId="0" applyNumberFormat="1" applyFont="1" applyFill="1" applyBorder="1" applyAlignment="1">
      <alignment horizontal="center" vertical="center" wrapText="1"/>
    </xf>
    <xf numFmtId="0" fontId="3" fillId="4" borderId="39" xfId="0" applyFont="1" applyFill="1" applyBorder="1" applyAlignment="1">
      <alignment horizontal="center" vertical="center" wrapText="1"/>
    </xf>
    <xf numFmtId="0" fontId="3" fillId="4" borderId="40" xfId="0" applyFont="1" applyFill="1" applyBorder="1" applyAlignment="1">
      <alignment horizontal="center" vertical="center" wrapText="1"/>
    </xf>
    <xf numFmtId="1" fontId="3" fillId="3" borderId="13" xfId="0" applyNumberFormat="1" applyFont="1" applyFill="1" applyBorder="1" applyAlignment="1">
      <alignment horizontal="center" vertical="center"/>
    </xf>
    <xf numFmtId="1" fontId="3" fillId="3" borderId="55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left"/>
    </xf>
    <xf numFmtId="0" fontId="21" fillId="2" borderId="2" xfId="0" applyFont="1" applyFill="1" applyBorder="1" applyAlignment="1">
      <alignment horizontal="left"/>
    </xf>
    <xf numFmtId="0" fontId="21" fillId="2" borderId="3" xfId="0" applyFont="1" applyFill="1" applyBorder="1" applyAlignment="1">
      <alignment horizontal="left"/>
    </xf>
    <xf numFmtId="0" fontId="18" fillId="2" borderId="5" xfId="0" applyFont="1" applyFill="1" applyBorder="1" applyAlignment="1">
      <alignment horizontal="left"/>
    </xf>
    <xf numFmtId="0" fontId="18" fillId="2" borderId="6" xfId="0" applyFont="1" applyFill="1" applyBorder="1" applyAlignment="1">
      <alignment horizontal="left"/>
    </xf>
    <xf numFmtId="0" fontId="18" fillId="2" borderId="7" xfId="0" applyFont="1" applyFill="1" applyBorder="1" applyAlignment="1">
      <alignment horizontal="left"/>
    </xf>
    <xf numFmtId="0" fontId="14" fillId="2" borderId="5" xfId="0" applyFont="1" applyFill="1" applyBorder="1" applyAlignment="1">
      <alignment horizontal="left" vertical="center"/>
    </xf>
    <xf numFmtId="0" fontId="14" fillId="2" borderId="6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42" xfId="0" applyFont="1" applyFill="1" applyBorder="1" applyAlignment="1">
      <alignment horizontal="left" vertical="top" wrapText="1"/>
    </xf>
    <xf numFmtId="0" fontId="14" fillId="2" borderId="0" xfId="0" applyFont="1" applyFill="1" applyAlignment="1">
      <alignment horizontal="left" vertical="top" wrapText="1"/>
    </xf>
    <xf numFmtId="0" fontId="14" fillId="2" borderId="9" xfId="0" applyFont="1" applyFill="1" applyBorder="1" applyAlignment="1">
      <alignment horizontal="left" vertical="top" wrapText="1"/>
    </xf>
    <xf numFmtId="0" fontId="14" fillId="2" borderId="5" xfId="0" applyFont="1" applyFill="1" applyBorder="1" applyAlignment="1">
      <alignment horizontal="left" vertical="top" wrapText="1"/>
    </xf>
    <xf numFmtId="0" fontId="14" fillId="2" borderId="6" xfId="0" applyFont="1" applyFill="1" applyBorder="1" applyAlignment="1">
      <alignment horizontal="left" vertical="top" wrapText="1"/>
    </xf>
    <xf numFmtId="0" fontId="14" fillId="2" borderId="7" xfId="0" applyFont="1" applyFill="1" applyBorder="1" applyAlignment="1">
      <alignment horizontal="left" vertical="top" wrapText="1"/>
    </xf>
    <xf numFmtId="0" fontId="14" fillId="2" borderId="5" xfId="0" applyFont="1" applyFill="1" applyBorder="1" applyAlignment="1">
      <alignment horizontal="left"/>
    </xf>
    <xf numFmtId="0" fontId="14" fillId="2" borderId="6" xfId="0" applyFont="1" applyFill="1" applyBorder="1" applyAlignment="1">
      <alignment horizontal="left"/>
    </xf>
    <xf numFmtId="0" fontId="14" fillId="2" borderId="7" xfId="0" applyFont="1" applyFill="1" applyBorder="1" applyAlignment="1">
      <alignment horizontal="left"/>
    </xf>
  </cellXfs>
  <cellStyles count="1">
    <cellStyle name="Normal" xfId="0" builtinId="0"/>
  </cellStyles>
  <dxfs count="3">
    <dxf>
      <font>
        <color theme="0"/>
      </font>
    </dxf>
    <dxf>
      <font>
        <color theme="1" tint="0.34998626667073579"/>
      </font>
      <fill>
        <patternFill patternType="lightDown">
          <fgColor theme="0" tint="-0.24994659260841701"/>
        </patternFill>
      </fill>
    </dxf>
    <dxf>
      <font>
        <color theme="1" tint="0.34998626667073579"/>
      </font>
      <fill>
        <patternFill patternType="lightDown">
          <fgColor theme="0" tint="-0.24994659260841701"/>
        </patternFill>
      </fill>
    </dxf>
  </dxfs>
  <tableStyles count="0" defaultTableStyle="TableStyleMedium9" defaultPivotStyle="PivotStyleLight16"/>
  <colors>
    <mruColors>
      <color rgb="FF0000FF"/>
      <color rgb="FFFFFFCC"/>
      <color rgb="FF00408E"/>
      <color rgb="FF454545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5F5A1-566A-4060-93E5-3BBE99025A44}">
  <sheetPr>
    <tabColor theme="3" tint="0.79998168889431442"/>
    <pageSetUpPr fitToPage="1"/>
  </sheetPr>
  <dimension ref="A1:U21"/>
  <sheetViews>
    <sheetView showGridLines="0" tabSelected="1" view="pageLayout" topLeftCell="A6" zoomScale="98" zoomScaleNormal="85" zoomScaleSheetLayoutView="100" zoomScalePageLayoutView="98" workbookViewId="0">
      <selection activeCell="T14" sqref="T14"/>
    </sheetView>
  </sheetViews>
  <sheetFormatPr baseColWidth="10" defaultColWidth="5.33203125" defaultRowHeight="14.4" x14ac:dyDescent="0.3"/>
  <cols>
    <col min="1" max="1" width="11.44140625" customWidth="1"/>
    <col min="2" max="2" width="9.5546875" customWidth="1"/>
    <col min="3" max="3" width="10.33203125" customWidth="1"/>
    <col min="4" max="4" width="25.6640625" customWidth="1"/>
    <col min="5" max="5" width="6.5546875" customWidth="1"/>
    <col min="6" max="6" width="8" customWidth="1"/>
    <col min="7" max="7" width="9.5546875" customWidth="1"/>
    <col min="8" max="8" width="8" customWidth="1"/>
    <col min="9" max="9" width="11.5546875" customWidth="1"/>
    <col min="10" max="10" width="8.5546875" customWidth="1"/>
    <col min="11" max="11" width="8.6640625" customWidth="1"/>
    <col min="12" max="13" width="10.6640625" customWidth="1"/>
    <col min="14" max="14" width="10.5546875" customWidth="1"/>
    <col min="15" max="17" width="10.6640625" customWidth="1"/>
    <col min="18" max="18" width="11.44140625" customWidth="1"/>
    <col min="19" max="19" width="7.109375" customWidth="1"/>
    <col min="20" max="20" width="9" customWidth="1"/>
    <col min="21" max="21" width="26" customWidth="1"/>
  </cols>
  <sheetData>
    <row r="1" spans="1:21" s="55" customFormat="1" ht="14.1" customHeight="1" x14ac:dyDescent="0.25">
      <c r="A1" s="50" t="s">
        <v>0</v>
      </c>
      <c r="B1" s="51"/>
      <c r="C1" s="52"/>
      <c r="D1" s="53" t="s">
        <v>1</v>
      </c>
      <c r="E1" s="167" t="s">
        <v>2</v>
      </c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9"/>
      <c r="U1" s="59" t="s">
        <v>3</v>
      </c>
    </row>
    <row r="2" spans="1:21" s="49" customFormat="1" ht="19.649999999999999" customHeight="1" x14ac:dyDescent="0.3">
      <c r="A2" s="170" t="s">
        <v>72</v>
      </c>
      <c r="B2" s="171"/>
      <c r="C2" s="172"/>
      <c r="D2" s="48"/>
      <c r="E2" s="173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5"/>
      <c r="U2" s="60"/>
    </row>
    <row r="3" spans="1:21" s="55" customFormat="1" ht="14.1" customHeight="1" x14ac:dyDescent="0.25">
      <c r="A3" s="167" t="s">
        <v>5</v>
      </c>
      <c r="B3" s="168"/>
      <c r="C3" s="169"/>
      <c r="D3" s="53" t="s">
        <v>6</v>
      </c>
      <c r="E3" s="54" t="s">
        <v>7</v>
      </c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8"/>
    </row>
    <row r="4" spans="1:21" ht="19.649999999999999" customHeight="1" x14ac:dyDescent="0.3">
      <c r="A4" s="170"/>
      <c r="B4" s="171"/>
      <c r="C4" s="172"/>
      <c r="D4" s="61"/>
      <c r="E4" s="176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8"/>
    </row>
    <row r="5" spans="1:21" s="55" customFormat="1" ht="14.1" customHeight="1" x14ac:dyDescent="0.25">
      <c r="A5" s="167" t="s">
        <v>8</v>
      </c>
      <c r="B5" s="168"/>
      <c r="C5" s="169"/>
      <c r="D5" s="56" t="s">
        <v>9</v>
      </c>
      <c r="E5" s="176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8"/>
    </row>
    <row r="6" spans="1:21" ht="19.649999999999999" customHeight="1" x14ac:dyDescent="0.3">
      <c r="A6" s="182"/>
      <c r="B6" s="183"/>
      <c r="C6" s="184"/>
      <c r="D6" s="61"/>
      <c r="E6" s="179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1"/>
    </row>
    <row r="7" spans="1:21" x14ac:dyDescent="0.3">
      <c r="A7" s="2"/>
      <c r="B7" s="1"/>
      <c r="C7" s="1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5"/>
      <c r="R7" s="25"/>
      <c r="S7" s="25"/>
      <c r="T7" s="25"/>
      <c r="U7" s="23"/>
    </row>
    <row r="8" spans="1:21" x14ac:dyDescent="0.3">
      <c r="A8" s="4" t="s">
        <v>10</v>
      </c>
      <c r="B8" s="5"/>
      <c r="C8" s="5"/>
      <c r="D8" s="13"/>
      <c r="E8" s="1"/>
      <c r="F8" s="1"/>
      <c r="G8" s="1"/>
      <c r="H8" s="1"/>
      <c r="I8" s="1"/>
      <c r="J8" s="1"/>
      <c r="K8" s="1"/>
      <c r="L8" s="1"/>
      <c r="M8" s="14"/>
      <c r="N8" s="14"/>
      <c r="O8" s="14"/>
      <c r="P8" s="14"/>
      <c r="Q8" s="14"/>
      <c r="R8" s="1"/>
      <c r="S8" s="14"/>
      <c r="T8" s="14"/>
      <c r="U8" s="26"/>
    </row>
    <row r="9" spans="1:21" ht="17.25" customHeight="1" x14ac:dyDescent="0.3">
      <c r="A9" s="88" t="s">
        <v>11</v>
      </c>
      <c r="B9" s="92">
        <v>3.6</v>
      </c>
      <c r="C9" s="93" t="s">
        <v>12</v>
      </c>
      <c r="D9" s="89" t="s">
        <v>13</v>
      </c>
      <c r="E9" s="91" t="s">
        <v>14</v>
      </c>
      <c r="G9" s="149" t="s">
        <v>15</v>
      </c>
      <c r="H9" s="150"/>
      <c r="I9" s="150"/>
      <c r="J9" s="150"/>
      <c r="K9" s="150"/>
      <c r="L9" s="150"/>
      <c r="M9" s="150"/>
      <c r="N9" s="151"/>
      <c r="O9" s="1"/>
      <c r="P9" s="68" t="s">
        <v>16</v>
      </c>
      <c r="Q9" s="1"/>
      <c r="R9" s="1"/>
      <c r="S9" s="14"/>
      <c r="T9" s="14"/>
      <c r="U9" s="26"/>
    </row>
    <row r="10" spans="1:21" s="90" customFormat="1" ht="16.2" x14ac:dyDescent="0.3">
      <c r="A10" s="88" t="s">
        <v>17</v>
      </c>
      <c r="B10" s="92">
        <v>26</v>
      </c>
      <c r="C10" s="6" t="s">
        <v>18</v>
      </c>
      <c r="D10" s="89" t="s">
        <v>19</v>
      </c>
      <c r="E10" s="91" t="s">
        <v>14</v>
      </c>
      <c r="G10" s="152"/>
      <c r="H10" s="153"/>
      <c r="I10" s="153"/>
      <c r="J10" s="153"/>
      <c r="K10" s="153"/>
      <c r="L10" s="153"/>
      <c r="M10" s="153"/>
      <c r="N10" s="154"/>
      <c r="O10" s="94"/>
      <c r="P10" s="95" t="s">
        <v>20</v>
      </c>
      <c r="Q10" s="94"/>
      <c r="R10" s="94"/>
      <c r="S10" s="96"/>
      <c r="T10" s="96"/>
      <c r="U10" s="26"/>
    </row>
    <row r="11" spans="1:21" ht="15" customHeight="1" x14ac:dyDescent="0.3">
      <c r="A11" s="88" t="s">
        <v>21</v>
      </c>
      <c r="B11" s="98"/>
      <c r="C11" s="97" t="s">
        <v>22</v>
      </c>
      <c r="D11" s="99" t="s">
        <v>23</v>
      </c>
      <c r="E11" s="91" t="s">
        <v>14</v>
      </c>
      <c r="F11" s="3"/>
      <c r="G11" s="155"/>
      <c r="H11" s="156"/>
      <c r="I11" s="156"/>
      <c r="J11" s="156"/>
      <c r="K11" s="156"/>
      <c r="L11" s="156"/>
      <c r="M11" s="156"/>
      <c r="N11" s="157"/>
      <c r="O11" s="1"/>
      <c r="P11" s="128">
        <v>0.2</v>
      </c>
      <c r="Q11" s="1"/>
      <c r="R11" s="1"/>
      <c r="S11" s="14"/>
      <c r="T11" s="14"/>
      <c r="U11" s="26"/>
    </row>
    <row r="12" spans="1:21" x14ac:dyDescent="0.3">
      <c r="A12" s="7"/>
      <c r="B12" s="8"/>
      <c r="C12" s="9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Q12" s="27"/>
      <c r="R12" s="27"/>
      <c r="S12" s="28"/>
      <c r="T12" s="28"/>
      <c r="U12" s="24"/>
    </row>
    <row r="13" spans="1:21" ht="30" customHeight="1" x14ac:dyDescent="0.3">
      <c r="A13" s="77"/>
      <c r="B13" s="77"/>
      <c r="C13" s="77"/>
      <c r="D13" s="81"/>
      <c r="E13" s="77"/>
      <c r="F13" s="158" t="s">
        <v>24</v>
      </c>
      <c r="G13" s="159"/>
      <c r="H13" s="160"/>
      <c r="I13" s="84" t="s">
        <v>25</v>
      </c>
      <c r="J13" s="161" t="s">
        <v>26</v>
      </c>
      <c r="K13" s="162"/>
      <c r="L13" s="85" t="s">
        <v>27</v>
      </c>
      <c r="M13" s="86" t="s">
        <v>28</v>
      </c>
      <c r="N13" s="87" t="s">
        <v>29</v>
      </c>
      <c r="O13" s="75" t="s">
        <v>16</v>
      </c>
      <c r="P13" s="75" t="s">
        <v>16</v>
      </c>
      <c r="Q13" s="76" t="s">
        <v>30</v>
      </c>
      <c r="R13" s="119" t="s">
        <v>31</v>
      </c>
      <c r="S13" s="163" t="s">
        <v>32</v>
      </c>
      <c r="T13" s="164"/>
      <c r="U13" s="77"/>
    </row>
    <row r="14" spans="1:21" ht="15.6" x14ac:dyDescent="0.3">
      <c r="A14" s="82" t="s">
        <v>33</v>
      </c>
      <c r="B14" s="82" t="s">
        <v>34</v>
      </c>
      <c r="C14" s="82" t="s">
        <v>35</v>
      </c>
      <c r="D14" s="82" t="s">
        <v>36</v>
      </c>
      <c r="E14" s="82" t="s">
        <v>37</v>
      </c>
      <c r="F14" s="106" t="s">
        <v>11</v>
      </c>
      <c r="G14" s="107" t="s">
        <v>17</v>
      </c>
      <c r="H14" s="108" t="s">
        <v>21</v>
      </c>
      <c r="I14" s="105"/>
      <c r="J14" s="101" t="s">
        <v>38</v>
      </c>
      <c r="K14" s="102" t="s">
        <v>39</v>
      </c>
      <c r="L14" s="112"/>
      <c r="M14" s="113"/>
      <c r="N14" s="115"/>
      <c r="O14" s="116" t="s">
        <v>40</v>
      </c>
      <c r="P14" s="116" t="s">
        <v>20</v>
      </c>
      <c r="Q14" s="117" t="s">
        <v>41</v>
      </c>
      <c r="R14" s="120"/>
      <c r="S14" s="78" t="s">
        <v>42</v>
      </c>
      <c r="T14" s="79">
        <v>18</v>
      </c>
      <c r="U14" s="82" t="s">
        <v>43</v>
      </c>
    </row>
    <row r="15" spans="1:21" ht="15.6" x14ac:dyDescent="0.3">
      <c r="A15" s="83"/>
      <c r="B15" s="80"/>
      <c r="C15" s="118" t="s">
        <v>44</v>
      </c>
      <c r="D15" s="80"/>
      <c r="E15" s="83" t="s">
        <v>45</v>
      </c>
      <c r="F15" s="109" t="s">
        <v>46</v>
      </c>
      <c r="G15" s="110" t="s">
        <v>47</v>
      </c>
      <c r="H15" s="111" t="s">
        <v>22</v>
      </c>
      <c r="I15" s="100" t="s">
        <v>48</v>
      </c>
      <c r="J15" s="103" t="s">
        <v>49</v>
      </c>
      <c r="K15" s="104" t="s">
        <v>49</v>
      </c>
      <c r="L15" s="109" t="s">
        <v>49</v>
      </c>
      <c r="M15" s="111" t="s">
        <v>49</v>
      </c>
      <c r="N15" s="114"/>
      <c r="O15" s="110" t="s">
        <v>49</v>
      </c>
      <c r="P15" s="110" t="s">
        <v>49</v>
      </c>
      <c r="Q15" s="110" t="s">
        <v>49</v>
      </c>
      <c r="R15" s="118" t="s">
        <v>46</v>
      </c>
      <c r="S15" s="78" t="s">
        <v>50</v>
      </c>
      <c r="T15" s="79">
        <v>26</v>
      </c>
      <c r="U15" s="80"/>
    </row>
    <row r="16" spans="1:21" x14ac:dyDescent="0.3">
      <c r="A16" s="16"/>
      <c r="B16" s="16">
        <v>1</v>
      </c>
      <c r="C16" s="17"/>
      <c r="D16" s="18"/>
      <c r="E16" s="16"/>
      <c r="F16" s="64">
        <f t="shared" ref="F16:F20" si="0">$B$9</f>
        <v>3.6</v>
      </c>
      <c r="G16" s="65">
        <f t="shared" ref="G16:G20" si="1">$B$10</f>
        <v>26</v>
      </c>
      <c r="H16" s="19"/>
      <c r="I16" s="21"/>
      <c r="J16" s="122">
        <f>IF(H16&gt;0,H16,((C16*F16)+(E16*G16)))</f>
        <v>0</v>
      </c>
      <c r="K16" s="123" t="str">
        <f>IF(AND(C16&gt;0,I16&gt;0),C16*I16,"")</f>
        <v/>
      </c>
      <c r="L16" s="29"/>
      <c r="M16" s="30">
        <f>L16</f>
        <v>0</v>
      </c>
      <c r="N16" s="35"/>
      <c r="O16" s="32"/>
      <c r="P16" s="121">
        <f t="shared" ref="P16:P20" si="2">O16*$P$11</f>
        <v>0</v>
      </c>
      <c r="Q16" s="33"/>
      <c r="R16" s="126" t="str">
        <f t="shared" ref="R16:R20" si="3">IF(AND(L16&gt;0,C16&gt;0),L16/C16,"")</f>
        <v/>
      </c>
      <c r="S16" s="62"/>
      <c r="T16" s="127">
        <f>IFERROR((L16/3600)*1.205*1.005*($T$15-$T$14)*1000,0)</f>
        <v>0</v>
      </c>
      <c r="U16" s="147" t="s">
        <v>74</v>
      </c>
    </row>
    <row r="17" spans="1:21" x14ac:dyDescent="0.3">
      <c r="A17" s="10"/>
      <c r="B17" s="10">
        <v>2</v>
      </c>
      <c r="C17" s="11"/>
      <c r="D17" s="12"/>
      <c r="E17" s="10"/>
      <c r="F17" s="66">
        <f t="shared" si="0"/>
        <v>3.6</v>
      </c>
      <c r="G17" s="67">
        <f t="shared" si="1"/>
        <v>26</v>
      </c>
      <c r="H17" s="20"/>
      <c r="I17" s="22"/>
      <c r="J17" s="124">
        <f t="shared" ref="J17:J20" si="4">IF(H17&gt;0,H17,((C17*F17)+(E17*G17)))</f>
        <v>0</v>
      </c>
      <c r="K17" s="125" t="str">
        <f t="shared" ref="K17:K20" si="5">IF(AND(C17&gt;0,I17&gt;0),C17*I17,"")</f>
        <v/>
      </c>
      <c r="L17" s="29"/>
      <c r="M17" s="30">
        <f>L17</f>
        <v>0</v>
      </c>
      <c r="N17" s="35"/>
      <c r="O17" s="32"/>
      <c r="P17" s="121">
        <f t="shared" si="2"/>
        <v>0</v>
      </c>
      <c r="Q17" s="34"/>
      <c r="R17" s="126" t="str">
        <f t="shared" si="3"/>
        <v/>
      </c>
      <c r="S17" s="63"/>
      <c r="T17" s="127">
        <f t="shared" ref="T17:T20" si="6">IFERROR((L17/3600)*1.205*1.005*($T$15-$T$14)*1000,0)</f>
        <v>0</v>
      </c>
      <c r="U17" s="147" t="s">
        <v>73</v>
      </c>
    </row>
    <row r="18" spans="1:21" x14ac:dyDescent="0.3">
      <c r="A18" s="10"/>
      <c r="B18" s="10">
        <v>3</v>
      </c>
      <c r="C18" s="11"/>
      <c r="D18" s="12"/>
      <c r="E18" s="10"/>
      <c r="F18" s="66">
        <f t="shared" si="0"/>
        <v>3.6</v>
      </c>
      <c r="G18" s="67">
        <f t="shared" si="1"/>
        <v>26</v>
      </c>
      <c r="H18" s="20"/>
      <c r="I18" s="22"/>
      <c r="J18" s="124">
        <f t="shared" si="4"/>
        <v>0</v>
      </c>
      <c r="K18" s="125" t="str">
        <f t="shared" si="5"/>
        <v/>
      </c>
      <c r="L18" s="31"/>
      <c r="M18" s="30">
        <f t="shared" ref="M18:M20" si="7">L18</f>
        <v>0</v>
      </c>
      <c r="N18" s="35"/>
      <c r="O18" s="32"/>
      <c r="P18" s="121">
        <f t="shared" si="2"/>
        <v>0</v>
      </c>
      <c r="Q18" s="34"/>
      <c r="R18" s="126" t="str">
        <f t="shared" si="3"/>
        <v/>
      </c>
      <c r="S18" s="63"/>
      <c r="T18" s="127">
        <f t="shared" si="6"/>
        <v>0</v>
      </c>
      <c r="U18" s="15"/>
    </row>
    <row r="19" spans="1:21" x14ac:dyDescent="0.3">
      <c r="A19" s="10"/>
      <c r="B19" s="10">
        <v>4</v>
      </c>
      <c r="C19" s="11"/>
      <c r="D19" s="12"/>
      <c r="E19" s="10"/>
      <c r="F19" s="66">
        <f t="shared" si="0"/>
        <v>3.6</v>
      </c>
      <c r="G19" s="67">
        <f t="shared" si="1"/>
        <v>26</v>
      </c>
      <c r="H19" s="20"/>
      <c r="I19" s="22"/>
      <c r="J19" s="124">
        <f t="shared" si="4"/>
        <v>0</v>
      </c>
      <c r="K19" s="125" t="str">
        <f t="shared" si="5"/>
        <v/>
      </c>
      <c r="L19" s="31"/>
      <c r="M19" s="30">
        <f t="shared" si="7"/>
        <v>0</v>
      </c>
      <c r="N19" s="35"/>
      <c r="O19" s="32"/>
      <c r="P19" s="121">
        <f t="shared" si="2"/>
        <v>0</v>
      </c>
      <c r="Q19" s="34"/>
      <c r="R19" s="126" t="str">
        <f t="shared" si="3"/>
        <v/>
      </c>
      <c r="S19" s="63"/>
      <c r="T19" s="127">
        <f t="shared" si="6"/>
        <v>0</v>
      </c>
      <c r="U19" s="15"/>
    </row>
    <row r="20" spans="1:21" x14ac:dyDescent="0.3">
      <c r="A20" s="10"/>
      <c r="B20" s="10">
        <v>6</v>
      </c>
      <c r="C20" s="11"/>
      <c r="D20" s="12"/>
      <c r="E20" s="10"/>
      <c r="F20" s="66">
        <f t="shared" si="0"/>
        <v>3.6</v>
      </c>
      <c r="G20" s="67">
        <f t="shared" si="1"/>
        <v>26</v>
      </c>
      <c r="H20" s="20"/>
      <c r="I20" s="22"/>
      <c r="J20" s="124">
        <f t="shared" si="4"/>
        <v>0</v>
      </c>
      <c r="K20" s="125" t="str">
        <f t="shared" si="5"/>
        <v/>
      </c>
      <c r="L20" s="31"/>
      <c r="M20" s="30">
        <f t="shared" si="7"/>
        <v>0</v>
      </c>
      <c r="N20" s="35"/>
      <c r="O20" s="32"/>
      <c r="P20" s="121">
        <f t="shared" si="2"/>
        <v>0</v>
      </c>
      <c r="Q20" s="34"/>
      <c r="R20" s="126" t="str">
        <f t="shared" si="3"/>
        <v/>
      </c>
      <c r="S20" s="63"/>
      <c r="T20" s="127">
        <f t="shared" si="6"/>
        <v>0</v>
      </c>
      <c r="U20" s="15"/>
    </row>
    <row r="21" spans="1:21" s="90" customFormat="1" x14ac:dyDescent="0.3">
      <c r="A21" s="165" t="s">
        <v>53</v>
      </c>
      <c r="B21" s="166"/>
      <c r="C21" s="129">
        <f>SUBTOTAL(9,C16:C20)</f>
        <v>0</v>
      </c>
      <c r="D21" s="130"/>
      <c r="E21" s="131">
        <f>SUBTOTAL(9,E16:E20)</f>
        <v>0</v>
      </c>
      <c r="F21" s="132"/>
      <c r="G21" s="133">
        <f>AVERAGE(G16:G20)</f>
        <v>26</v>
      </c>
      <c r="H21" s="134"/>
      <c r="I21" s="135">
        <f>IFERROR(AVERAGE(I16:I20),0)</f>
        <v>0</v>
      </c>
      <c r="J21" s="136">
        <f>+SUBTOTAL(9,J16:J20)</f>
        <v>0</v>
      </c>
      <c r="K21" s="137">
        <f>+SUBTOTAL(9,K16:K20)</f>
        <v>0</v>
      </c>
      <c r="L21" s="138">
        <f>+SUBTOTAL(9,L16:L20)</f>
        <v>0</v>
      </c>
      <c r="M21" s="139">
        <f>SUBTOTAL(9,M16:M20)</f>
        <v>0</v>
      </c>
      <c r="N21" s="140"/>
      <c r="O21" s="141"/>
      <c r="P21" s="142">
        <f>SUBTOTAL(9,P16:P20)</f>
        <v>0</v>
      </c>
      <c r="Q21" s="143"/>
      <c r="R21" s="135">
        <f>IFERROR(AVERAGE(R16:R20),0)</f>
        <v>0</v>
      </c>
      <c r="S21" s="144"/>
      <c r="T21" s="145"/>
      <c r="U21" s="146"/>
    </row>
  </sheetData>
  <mergeCells count="13">
    <mergeCell ref="E1:T1"/>
    <mergeCell ref="A2:C2"/>
    <mergeCell ref="E2:T2"/>
    <mergeCell ref="A3:C3"/>
    <mergeCell ref="A4:C4"/>
    <mergeCell ref="E4:U6"/>
    <mergeCell ref="A5:C5"/>
    <mergeCell ref="A6:C6"/>
    <mergeCell ref="G9:N11"/>
    <mergeCell ref="F13:H13"/>
    <mergeCell ref="J13:K13"/>
    <mergeCell ref="S13:T13"/>
    <mergeCell ref="A21:B21"/>
  </mergeCells>
  <conditionalFormatting sqref="F16:G20">
    <cfRule type="expression" dxfId="2" priority="1">
      <formula>$H16&gt;0</formula>
    </cfRule>
  </conditionalFormatting>
  <pageMargins left="0.23622047244094491" right="0.23622047244094491" top="0.74803149606299213" bottom="0.74803149606299213" header="0.31496062992125984" footer="0.31496062992125984"/>
  <pageSetup paperSize="8" scale="87" fitToHeight="0" orientation="landscape" r:id="rId1"/>
  <headerFooter>
    <oddHeader xml:space="preserve">&amp;L&amp;"Space Grotesk,Normal"&amp;20&amp;K00408ELuftmengdeberegning&amp;R&amp;G
</oddHeader>
    <oddFooter>&amp;L&amp;8&amp;K454545Dokumentansvarlig:  Erlend Reinfjord&amp;C&amp;8&amp;K454545Godkjent av: Petter Helland&amp;RSide &amp;P/&amp;N
&amp;8&amp;K454545Rev. nr. og dato: Rev F – 01.07.2024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Husk Systemnummer" xr:uid="{2A3AFA35-5E0F-4110-86D9-E5D31377FCE9}">
          <x14:formula1>
            <xm:f>'Sum Ventilasjonssystem'!$C$11:$C$21</xm:f>
          </x14:formula1>
          <xm:sqref>N16:N20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  <pageSetUpPr fitToPage="1"/>
  </sheetPr>
  <dimension ref="A1:U21"/>
  <sheetViews>
    <sheetView showGridLines="0" view="pageLayout" zoomScale="98" zoomScaleNormal="85" zoomScaleSheetLayoutView="100" zoomScalePageLayoutView="98" workbookViewId="0">
      <selection activeCell="D16" sqref="D16"/>
    </sheetView>
  </sheetViews>
  <sheetFormatPr baseColWidth="10" defaultColWidth="5.33203125" defaultRowHeight="14.4" x14ac:dyDescent="0.3"/>
  <cols>
    <col min="1" max="1" width="11.44140625" customWidth="1"/>
    <col min="2" max="2" width="9.5546875" customWidth="1"/>
    <col min="3" max="3" width="10.33203125" customWidth="1"/>
    <col min="4" max="4" width="25.6640625" customWidth="1"/>
    <col min="5" max="5" width="6.5546875" customWidth="1"/>
    <col min="6" max="6" width="8" customWidth="1"/>
    <col min="7" max="7" width="9.5546875" customWidth="1"/>
    <col min="8" max="8" width="8" customWidth="1"/>
    <col min="9" max="9" width="11.5546875" customWidth="1"/>
    <col min="10" max="10" width="8.5546875" customWidth="1"/>
    <col min="11" max="11" width="8.6640625" customWidth="1"/>
    <col min="12" max="13" width="10.6640625" customWidth="1"/>
    <col min="14" max="14" width="10.5546875" customWidth="1"/>
    <col min="15" max="17" width="10.6640625" customWidth="1"/>
    <col min="18" max="18" width="11.44140625" customWidth="1"/>
    <col min="19" max="19" width="7.109375" customWidth="1"/>
    <col min="20" max="20" width="9" customWidth="1"/>
    <col min="21" max="21" width="26" customWidth="1"/>
  </cols>
  <sheetData>
    <row r="1" spans="1:21" s="55" customFormat="1" ht="14.1" customHeight="1" x14ac:dyDescent="0.25">
      <c r="A1" s="50" t="s">
        <v>0</v>
      </c>
      <c r="B1" s="51"/>
      <c r="C1" s="52"/>
      <c r="D1" s="53" t="s">
        <v>1</v>
      </c>
      <c r="E1" s="167" t="s">
        <v>2</v>
      </c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9"/>
      <c r="U1" s="59" t="s">
        <v>3</v>
      </c>
    </row>
    <row r="2" spans="1:21" s="49" customFormat="1" ht="19.649999999999999" customHeight="1" x14ac:dyDescent="0.3">
      <c r="A2" s="170" t="s">
        <v>4</v>
      </c>
      <c r="B2" s="171"/>
      <c r="C2" s="172"/>
      <c r="D2" s="48"/>
      <c r="E2" s="173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5"/>
      <c r="U2" s="60"/>
    </row>
    <row r="3" spans="1:21" s="55" customFormat="1" ht="14.1" customHeight="1" x14ac:dyDescent="0.25">
      <c r="A3" s="167" t="s">
        <v>5</v>
      </c>
      <c r="B3" s="168"/>
      <c r="C3" s="169"/>
      <c r="D3" s="53" t="s">
        <v>6</v>
      </c>
      <c r="E3" s="54" t="s">
        <v>7</v>
      </c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8"/>
    </row>
    <row r="4" spans="1:21" ht="19.649999999999999" customHeight="1" x14ac:dyDescent="0.3">
      <c r="A4" s="170"/>
      <c r="B4" s="171"/>
      <c r="C4" s="172"/>
      <c r="D4" s="61"/>
      <c r="E4" s="176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8"/>
    </row>
    <row r="5" spans="1:21" s="55" customFormat="1" ht="14.1" customHeight="1" x14ac:dyDescent="0.25">
      <c r="A5" s="167" t="s">
        <v>8</v>
      </c>
      <c r="B5" s="168"/>
      <c r="C5" s="169"/>
      <c r="D5" s="56" t="s">
        <v>9</v>
      </c>
      <c r="E5" s="176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8"/>
    </row>
    <row r="6" spans="1:21" ht="19.649999999999999" customHeight="1" x14ac:dyDescent="0.3">
      <c r="A6" s="182"/>
      <c r="B6" s="183"/>
      <c r="C6" s="184"/>
      <c r="D6" s="61"/>
      <c r="E6" s="179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1"/>
    </row>
    <row r="7" spans="1:21" x14ac:dyDescent="0.3">
      <c r="A7" s="2"/>
      <c r="B7" s="1"/>
      <c r="C7" s="1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5"/>
      <c r="R7" s="25"/>
      <c r="S7" s="25"/>
      <c r="T7" s="25"/>
      <c r="U7" s="23"/>
    </row>
    <row r="8" spans="1:21" x14ac:dyDescent="0.3">
      <c r="A8" s="4" t="s">
        <v>10</v>
      </c>
      <c r="B8" s="5"/>
      <c r="C8" s="5"/>
      <c r="D8" s="13"/>
      <c r="E8" s="1"/>
      <c r="F8" s="1"/>
      <c r="G8" s="1"/>
      <c r="H8" s="1"/>
      <c r="I8" s="1"/>
      <c r="J8" s="1"/>
      <c r="K8" s="1"/>
      <c r="L8" s="1"/>
      <c r="M8" s="14"/>
      <c r="N8" s="14"/>
      <c r="O8" s="14"/>
      <c r="P8" s="14"/>
      <c r="Q8" s="14"/>
      <c r="R8" s="1"/>
      <c r="S8" s="14"/>
      <c r="T8" s="14"/>
      <c r="U8" s="26"/>
    </row>
    <row r="9" spans="1:21" ht="17.25" customHeight="1" x14ac:dyDescent="0.3">
      <c r="A9" s="88" t="s">
        <v>11</v>
      </c>
      <c r="B9" s="92">
        <v>3.6</v>
      </c>
      <c r="C9" s="93" t="s">
        <v>12</v>
      </c>
      <c r="D9" s="89" t="s">
        <v>13</v>
      </c>
      <c r="E9" s="91" t="s">
        <v>14</v>
      </c>
      <c r="G9" s="149" t="s">
        <v>15</v>
      </c>
      <c r="H9" s="150"/>
      <c r="I9" s="150"/>
      <c r="J9" s="150"/>
      <c r="K9" s="150"/>
      <c r="L9" s="150"/>
      <c r="M9" s="150"/>
      <c r="N9" s="151"/>
      <c r="O9" s="1"/>
      <c r="P9" s="68" t="s">
        <v>16</v>
      </c>
      <c r="Q9" s="1"/>
      <c r="R9" s="1"/>
      <c r="S9" s="14"/>
      <c r="T9" s="14"/>
      <c r="U9" s="26"/>
    </row>
    <row r="10" spans="1:21" s="90" customFormat="1" ht="16.2" x14ac:dyDescent="0.3">
      <c r="A10" s="88" t="s">
        <v>17</v>
      </c>
      <c r="B10" s="92">
        <v>26</v>
      </c>
      <c r="C10" s="6" t="s">
        <v>18</v>
      </c>
      <c r="D10" s="89" t="s">
        <v>19</v>
      </c>
      <c r="E10" s="91" t="s">
        <v>14</v>
      </c>
      <c r="G10" s="152"/>
      <c r="H10" s="153"/>
      <c r="I10" s="153"/>
      <c r="J10" s="153"/>
      <c r="K10" s="153"/>
      <c r="L10" s="153"/>
      <c r="M10" s="153"/>
      <c r="N10" s="154"/>
      <c r="O10" s="94"/>
      <c r="P10" s="95" t="s">
        <v>20</v>
      </c>
      <c r="Q10" s="94"/>
      <c r="R10" s="94"/>
      <c r="S10" s="96"/>
      <c r="T10" s="96"/>
      <c r="U10" s="26"/>
    </row>
    <row r="11" spans="1:21" ht="15" customHeight="1" x14ac:dyDescent="0.3">
      <c r="A11" s="88" t="s">
        <v>21</v>
      </c>
      <c r="B11" s="98"/>
      <c r="C11" s="97" t="s">
        <v>22</v>
      </c>
      <c r="D11" s="99" t="s">
        <v>23</v>
      </c>
      <c r="E11" s="91" t="s">
        <v>14</v>
      </c>
      <c r="F11" s="3"/>
      <c r="G11" s="155"/>
      <c r="H11" s="156"/>
      <c r="I11" s="156"/>
      <c r="J11" s="156"/>
      <c r="K11" s="156"/>
      <c r="L11" s="156"/>
      <c r="M11" s="156"/>
      <c r="N11" s="157"/>
      <c r="O11" s="1"/>
      <c r="P11" s="128">
        <v>0.2</v>
      </c>
      <c r="Q11" s="1"/>
      <c r="R11" s="1"/>
      <c r="S11" s="14"/>
      <c r="T11" s="14"/>
      <c r="U11" s="26"/>
    </row>
    <row r="12" spans="1:21" x14ac:dyDescent="0.3">
      <c r="A12" s="7"/>
      <c r="B12" s="8"/>
      <c r="C12" s="9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Q12" s="27"/>
      <c r="R12" s="27"/>
      <c r="S12" s="28"/>
      <c r="T12" s="28"/>
      <c r="U12" s="24"/>
    </row>
    <row r="13" spans="1:21" ht="30" customHeight="1" x14ac:dyDescent="0.3">
      <c r="A13" s="77"/>
      <c r="B13" s="77"/>
      <c r="C13" s="77"/>
      <c r="D13" s="81"/>
      <c r="E13" s="77"/>
      <c r="F13" s="158" t="s">
        <v>24</v>
      </c>
      <c r="G13" s="159"/>
      <c r="H13" s="160"/>
      <c r="I13" s="84" t="s">
        <v>25</v>
      </c>
      <c r="J13" s="161" t="s">
        <v>26</v>
      </c>
      <c r="K13" s="162"/>
      <c r="L13" s="85" t="s">
        <v>27</v>
      </c>
      <c r="M13" s="86" t="s">
        <v>28</v>
      </c>
      <c r="N13" s="87" t="s">
        <v>29</v>
      </c>
      <c r="O13" s="75" t="s">
        <v>16</v>
      </c>
      <c r="P13" s="75" t="s">
        <v>16</v>
      </c>
      <c r="Q13" s="76" t="s">
        <v>30</v>
      </c>
      <c r="R13" s="119" t="s">
        <v>31</v>
      </c>
      <c r="S13" s="163" t="s">
        <v>32</v>
      </c>
      <c r="T13" s="164"/>
      <c r="U13" s="77"/>
    </row>
    <row r="14" spans="1:21" ht="15.6" x14ac:dyDescent="0.3">
      <c r="A14" s="82" t="s">
        <v>33</v>
      </c>
      <c r="B14" s="82" t="s">
        <v>34</v>
      </c>
      <c r="C14" s="82" t="s">
        <v>35</v>
      </c>
      <c r="D14" s="82" t="s">
        <v>36</v>
      </c>
      <c r="E14" s="82" t="s">
        <v>37</v>
      </c>
      <c r="F14" s="106" t="s">
        <v>11</v>
      </c>
      <c r="G14" s="107" t="s">
        <v>17</v>
      </c>
      <c r="H14" s="108" t="s">
        <v>21</v>
      </c>
      <c r="I14" s="105"/>
      <c r="J14" s="101" t="s">
        <v>38</v>
      </c>
      <c r="K14" s="102" t="s">
        <v>39</v>
      </c>
      <c r="L14" s="112"/>
      <c r="M14" s="113"/>
      <c r="N14" s="115"/>
      <c r="O14" s="116" t="s">
        <v>40</v>
      </c>
      <c r="P14" s="116" t="s">
        <v>20</v>
      </c>
      <c r="Q14" s="117" t="s">
        <v>41</v>
      </c>
      <c r="R14" s="120"/>
      <c r="S14" s="78" t="s">
        <v>42</v>
      </c>
      <c r="T14" s="79">
        <v>18</v>
      </c>
      <c r="U14" s="82" t="s">
        <v>43</v>
      </c>
    </row>
    <row r="15" spans="1:21" ht="15.6" x14ac:dyDescent="0.3">
      <c r="A15" s="83"/>
      <c r="B15" s="80"/>
      <c r="C15" s="118" t="s">
        <v>44</v>
      </c>
      <c r="D15" s="80"/>
      <c r="E15" s="83" t="s">
        <v>45</v>
      </c>
      <c r="F15" s="109" t="s">
        <v>46</v>
      </c>
      <c r="G15" s="110" t="s">
        <v>47</v>
      </c>
      <c r="H15" s="111" t="s">
        <v>22</v>
      </c>
      <c r="I15" s="100" t="s">
        <v>48</v>
      </c>
      <c r="J15" s="103" t="s">
        <v>49</v>
      </c>
      <c r="K15" s="104" t="s">
        <v>49</v>
      </c>
      <c r="L15" s="109" t="s">
        <v>49</v>
      </c>
      <c r="M15" s="111" t="s">
        <v>49</v>
      </c>
      <c r="N15" s="114"/>
      <c r="O15" s="110" t="s">
        <v>49</v>
      </c>
      <c r="P15" s="110" t="s">
        <v>49</v>
      </c>
      <c r="Q15" s="110" t="s">
        <v>49</v>
      </c>
      <c r="R15" s="118" t="s">
        <v>46</v>
      </c>
      <c r="S15" s="78" t="s">
        <v>50</v>
      </c>
      <c r="T15" s="79">
        <v>26</v>
      </c>
      <c r="U15" s="80"/>
    </row>
    <row r="16" spans="1:21" ht="21.6" x14ac:dyDescent="0.3">
      <c r="A16" s="16"/>
      <c r="B16" s="16">
        <v>1</v>
      </c>
      <c r="C16" s="17"/>
      <c r="D16" s="18"/>
      <c r="E16" s="16">
        <v>5</v>
      </c>
      <c r="F16" s="64">
        <f t="shared" ref="F16:F20" si="0">$B$9</f>
        <v>3.6</v>
      </c>
      <c r="G16" s="65">
        <f t="shared" ref="G16:G20" si="1">$B$10</f>
        <v>26</v>
      </c>
      <c r="H16" s="19"/>
      <c r="I16" s="21"/>
      <c r="J16" s="122">
        <f>IF(H16&gt;0,H16,((C16*F16)+(E16*G16)))</f>
        <v>130</v>
      </c>
      <c r="K16" s="123" t="str">
        <f>IF(AND(C16&gt;0,I16&gt;0),C16*I16,"")</f>
        <v/>
      </c>
      <c r="L16" s="29">
        <v>34221</v>
      </c>
      <c r="M16" s="30">
        <f>L16</f>
        <v>34221</v>
      </c>
      <c r="N16" s="35"/>
      <c r="O16" s="32"/>
      <c r="P16" s="121">
        <f t="shared" ref="P16:P20" si="2">O16*$P$11</f>
        <v>0</v>
      </c>
      <c r="Q16" s="33"/>
      <c r="R16" s="126" t="str">
        <f t="shared" ref="R16:R20" si="3">IF(AND(L16&gt;0,C16&gt;0),L16/C16,"")</f>
        <v/>
      </c>
      <c r="S16" s="62"/>
      <c r="T16" s="127">
        <f>IFERROR((L16/3600)*1.205*1.005*($T$15-$T$14)*1000,0)</f>
        <v>92094.414499999999</v>
      </c>
      <c r="U16" s="147" t="s">
        <v>51</v>
      </c>
    </row>
    <row r="17" spans="1:21" x14ac:dyDescent="0.3">
      <c r="A17" s="10"/>
      <c r="B17" s="10">
        <v>2</v>
      </c>
      <c r="C17" s="11"/>
      <c r="D17" s="12"/>
      <c r="E17" s="10"/>
      <c r="F17" s="66">
        <f t="shared" si="0"/>
        <v>3.6</v>
      </c>
      <c r="G17" s="67">
        <f t="shared" si="1"/>
        <v>26</v>
      </c>
      <c r="H17" s="20"/>
      <c r="I17" s="22"/>
      <c r="J17" s="124">
        <f t="shared" ref="J17:J20" si="4">IF(H17&gt;0,H17,((C17*F17)+(E17*G17)))</f>
        <v>0</v>
      </c>
      <c r="K17" s="125" t="str">
        <f t="shared" ref="K17:K20" si="5">IF(AND(C17&gt;0,I17&gt;0),C17*I17,"")</f>
        <v/>
      </c>
      <c r="L17" s="31">
        <v>858</v>
      </c>
      <c r="M17" s="30">
        <f>L17</f>
        <v>858</v>
      </c>
      <c r="N17" s="35"/>
      <c r="O17" s="148">
        <v>343</v>
      </c>
      <c r="P17" s="121">
        <f t="shared" si="2"/>
        <v>68.600000000000009</v>
      </c>
      <c r="Q17" s="34"/>
      <c r="R17" s="126" t="str">
        <f t="shared" si="3"/>
        <v/>
      </c>
      <c r="S17" s="63"/>
      <c r="T17" s="127">
        <f t="shared" ref="T17:T20" si="6">IFERROR((L17/3600)*1.205*1.005*($T$15-$T$14)*1000,0)</f>
        <v>2309.0210000000002</v>
      </c>
      <c r="U17" s="15" t="s">
        <v>52</v>
      </c>
    </row>
    <row r="18" spans="1:21" x14ac:dyDescent="0.3">
      <c r="A18" s="10"/>
      <c r="B18" s="10">
        <v>3</v>
      </c>
      <c r="C18" s="11"/>
      <c r="D18" s="12"/>
      <c r="E18" s="10"/>
      <c r="F18" s="66">
        <f t="shared" si="0"/>
        <v>3.6</v>
      </c>
      <c r="G18" s="67">
        <f t="shared" si="1"/>
        <v>26</v>
      </c>
      <c r="H18" s="20"/>
      <c r="I18" s="22"/>
      <c r="J18" s="124">
        <f t="shared" si="4"/>
        <v>0</v>
      </c>
      <c r="K18" s="125" t="str">
        <f t="shared" si="5"/>
        <v/>
      </c>
      <c r="L18" s="31">
        <v>491.4</v>
      </c>
      <c r="M18" s="30">
        <f t="shared" ref="M18:M20" si="7">L18</f>
        <v>491.4</v>
      </c>
      <c r="N18" s="35"/>
      <c r="O18" s="148">
        <v>197</v>
      </c>
      <c r="P18" s="121">
        <f t="shared" si="2"/>
        <v>39.400000000000006</v>
      </c>
      <c r="Q18" s="34"/>
      <c r="R18" s="126" t="str">
        <f t="shared" si="3"/>
        <v/>
      </c>
      <c r="S18" s="63"/>
      <c r="T18" s="127">
        <f t="shared" si="6"/>
        <v>1322.4392999999995</v>
      </c>
      <c r="U18" s="15" t="s">
        <v>52</v>
      </c>
    </row>
    <row r="19" spans="1:21" x14ac:dyDescent="0.3">
      <c r="A19" s="10"/>
      <c r="B19" s="10">
        <v>4</v>
      </c>
      <c r="C19" s="11"/>
      <c r="D19" s="12"/>
      <c r="E19" s="10"/>
      <c r="F19" s="66">
        <f t="shared" si="0"/>
        <v>3.6</v>
      </c>
      <c r="G19" s="67">
        <f t="shared" si="1"/>
        <v>26</v>
      </c>
      <c r="H19" s="20"/>
      <c r="I19" s="22"/>
      <c r="J19" s="124">
        <f t="shared" si="4"/>
        <v>0</v>
      </c>
      <c r="K19" s="125" t="str">
        <f t="shared" si="5"/>
        <v/>
      </c>
      <c r="L19" s="31">
        <v>615.6</v>
      </c>
      <c r="M19" s="30">
        <f t="shared" si="7"/>
        <v>615.6</v>
      </c>
      <c r="N19" s="35"/>
      <c r="O19" s="148">
        <v>243</v>
      </c>
      <c r="P19" s="121">
        <f t="shared" si="2"/>
        <v>48.6</v>
      </c>
      <c r="Q19" s="34"/>
      <c r="R19" s="126" t="str">
        <f t="shared" si="3"/>
        <v/>
      </c>
      <c r="S19" s="63"/>
      <c r="T19" s="127">
        <f t="shared" si="6"/>
        <v>1656.6822</v>
      </c>
      <c r="U19" s="15" t="s">
        <v>52</v>
      </c>
    </row>
    <row r="20" spans="1:21" x14ac:dyDescent="0.3">
      <c r="A20" s="10"/>
      <c r="B20" s="10">
        <v>6</v>
      </c>
      <c r="C20" s="11"/>
      <c r="D20" s="12"/>
      <c r="E20" s="10"/>
      <c r="F20" s="66">
        <f t="shared" si="0"/>
        <v>3.6</v>
      </c>
      <c r="G20" s="67">
        <f t="shared" si="1"/>
        <v>26</v>
      </c>
      <c r="H20" s="20"/>
      <c r="I20" s="22"/>
      <c r="J20" s="124">
        <f t="shared" si="4"/>
        <v>0</v>
      </c>
      <c r="K20" s="125" t="str">
        <f t="shared" si="5"/>
        <v/>
      </c>
      <c r="L20" s="31">
        <v>1709.7</v>
      </c>
      <c r="M20" s="30">
        <f t="shared" si="7"/>
        <v>1709.7</v>
      </c>
      <c r="N20" s="35"/>
      <c r="O20" s="148">
        <v>684</v>
      </c>
      <c r="P20" s="121">
        <f t="shared" si="2"/>
        <v>136.80000000000001</v>
      </c>
      <c r="Q20" s="34"/>
      <c r="R20" s="126" t="str">
        <f t="shared" si="3"/>
        <v/>
      </c>
      <c r="S20" s="63"/>
      <c r="T20" s="127">
        <f t="shared" si="6"/>
        <v>4601.0876500000004</v>
      </c>
      <c r="U20" s="15" t="s">
        <v>52</v>
      </c>
    </row>
    <row r="21" spans="1:21" s="90" customFormat="1" x14ac:dyDescent="0.3">
      <c r="A21" s="165" t="s">
        <v>53</v>
      </c>
      <c r="B21" s="166"/>
      <c r="C21" s="129">
        <f>SUBTOTAL(9,C16:C20)</f>
        <v>0</v>
      </c>
      <c r="D21" s="130"/>
      <c r="E21" s="131">
        <f>SUBTOTAL(9,E16:E20)</f>
        <v>5</v>
      </c>
      <c r="F21" s="132"/>
      <c r="G21" s="133">
        <f>AVERAGE(G16:G20)</f>
        <v>26</v>
      </c>
      <c r="H21" s="134"/>
      <c r="I21" s="135">
        <f>IFERROR(AVERAGE(I16:I20),0)</f>
        <v>0</v>
      </c>
      <c r="J21" s="136">
        <f>+SUBTOTAL(9,J16:J20)</f>
        <v>130</v>
      </c>
      <c r="K21" s="137">
        <f>+SUBTOTAL(9,K16:K20)</f>
        <v>0</v>
      </c>
      <c r="L21" s="138">
        <f>+SUBTOTAL(9,L16:L20)</f>
        <v>37895.699999999997</v>
      </c>
      <c r="M21" s="139">
        <f>SUBTOTAL(9,M16:M20)</f>
        <v>37895.699999999997</v>
      </c>
      <c r="N21" s="140"/>
      <c r="O21" s="141"/>
      <c r="P21" s="142">
        <f>SUBTOTAL(9,P16:P20)</f>
        <v>293.40000000000003</v>
      </c>
      <c r="Q21" s="143"/>
      <c r="R21" s="135">
        <f>IFERROR(AVERAGE(R16:R20),0)</f>
        <v>0</v>
      </c>
      <c r="S21" s="144"/>
      <c r="T21" s="145"/>
      <c r="U21" s="146"/>
    </row>
  </sheetData>
  <mergeCells count="13">
    <mergeCell ref="A21:B21"/>
    <mergeCell ref="A2:C2"/>
    <mergeCell ref="A3:C3"/>
    <mergeCell ref="A5:C5"/>
    <mergeCell ref="A4:C4"/>
    <mergeCell ref="A6:C6"/>
    <mergeCell ref="E1:T1"/>
    <mergeCell ref="E2:T2"/>
    <mergeCell ref="S13:T13"/>
    <mergeCell ref="F13:H13"/>
    <mergeCell ref="J13:K13"/>
    <mergeCell ref="E4:U6"/>
    <mergeCell ref="G9:N11"/>
  </mergeCells>
  <phoneticPr fontId="27" type="noConversion"/>
  <conditionalFormatting sqref="F16:G20">
    <cfRule type="expression" dxfId="1" priority="1">
      <formula>$H16&gt;0</formula>
    </cfRule>
  </conditionalFormatting>
  <pageMargins left="0.23622047244094491" right="0.23622047244094491" top="0.74803149606299213" bottom="0.74803149606299213" header="0.31496062992125984" footer="0.31496062992125984"/>
  <pageSetup paperSize="8" scale="87" fitToHeight="0" orientation="landscape" r:id="rId1"/>
  <headerFooter>
    <oddHeader xml:space="preserve">&amp;L&amp;"Space Grotesk,Normal"&amp;20&amp;K00408ELuftmengdeberegning&amp;R&amp;G
</oddHeader>
    <oddFooter>&amp;L&amp;8&amp;K454545Dokumentansvarlig:  Erlend Reinfjord&amp;C&amp;8&amp;K454545Godkjent av: Petter Helland&amp;RSide &amp;P/&amp;N
&amp;8&amp;K454545Rev. nr. og dato: Rev F – 01.07.2024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Husk Systemnummer" xr:uid="{D0C93918-2FE1-43DD-9659-2EFAD5ABDAF3}">
          <x14:formula1>
            <xm:f>'Sum Ventilasjonssystem'!$C$11:$C$21</xm:f>
          </x14:formula1>
          <xm:sqref>N16:N20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963CC-DD23-46BE-9667-78ADF1AA1EF5}">
  <sheetPr>
    <tabColor theme="6" tint="0.59999389629810485"/>
    <pageSetUpPr fitToPage="1"/>
  </sheetPr>
  <dimension ref="A1:U22"/>
  <sheetViews>
    <sheetView showGridLines="0" view="pageLayout" zoomScaleNormal="85" zoomScaleSheetLayoutView="100" workbookViewId="0">
      <selection activeCell="P18" sqref="P18"/>
    </sheetView>
  </sheetViews>
  <sheetFormatPr baseColWidth="10" defaultColWidth="11.44140625" defaultRowHeight="14.4" x14ac:dyDescent="0.3"/>
  <cols>
    <col min="1" max="1" width="11.44140625" customWidth="1"/>
    <col min="2" max="2" width="9.5546875" customWidth="1"/>
    <col min="3" max="3" width="10.33203125" customWidth="1"/>
    <col min="4" max="4" width="26.6640625" customWidth="1"/>
    <col min="5" max="5" width="6.5546875" customWidth="1"/>
    <col min="6" max="8" width="8" customWidth="1"/>
    <col min="9" max="9" width="11.5546875" customWidth="1"/>
    <col min="10" max="13" width="10.6640625" customWidth="1"/>
    <col min="14" max="14" width="10.5546875" customWidth="1"/>
    <col min="15" max="17" width="10.6640625" customWidth="1"/>
    <col min="18" max="18" width="11.44140625" customWidth="1"/>
    <col min="19" max="19" width="7.109375" customWidth="1"/>
    <col min="20" max="20" width="9" customWidth="1"/>
    <col min="21" max="21" width="27.5546875" customWidth="1"/>
  </cols>
  <sheetData>
    <row r="1" spans="1:21" s="55" customFormat="1" ht="14.1" customHeight="1" x14ac:dyDescent="0.25">
      <c r="A1" s="50" t="str">
        <f>'Alternativ 2'!A1</f>
        <v>Prosjekt</v>
      </c>
      <c r="B1" s="51">
        <f>'Alternativ 2'!B1</f>
        <v>0</v>
      </c>
      <c r="C1" s="52">
        <f>'Alternativ 2'!C1</f>
        <v>0</v>
      </c>
      <c r="D1" s="53" t="str">
        <f>'Alternativ 2'!D1</f>
        <v>Ordre nr</v>
      </c>
      <c r="E1" s="167" t="str">
        <f>'Alternativ 2'!E1</f>
        <v>Anlegg/Bygg/Område</v>
      </c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9"/>
      <c r="U1" s="59" t="str">
        <f>'Alternativ 2'!U1</f>
        <v>Revisjons dato:</v>
      </c>
    </row>
    <row r="2" spans="1:21" s="49" customFormat="1" ht="19.649999999999999" customHeight="1" x14ac:dyDescent="0.3">
      <c r="A2" s="170" t="str">
        <f>'Alternativ 2'!A2</f>
        <v>Hystar Cleanroom Gigafactory</v>
      </c>
      <c r="B2" s="171"/>
      <c r="C2" s="172"/>
      <c r="D2" s="48">
        <f>'Alternativ 2'!D2</f>
        <v>0</v>
      </c>
      <c r="E2" s="173">
        <f>'Alternativ 2'!E2</f>
        <v>0</v>
      </c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5"/>
      <c r="U2" s="60">
        <f>'Alternativ 2'!U2</f>
        <v>0</v>
      </c>
    </row>
    <row r="3" spans="1:21" s="55" customFormat="1" ht="14.1" customHeight="1" x14ac:dyDescent="0.25">
      <c r="A3" s="167" t="str">
        <f>'Alternativ 2'!A3</f>
        <v>Utført av:</v>
      </c>
      <c r="B3" s="168"/>
      <c r="C3" s="169"/>
      <c r="D3" s="53" t="str">
        <f>'Alternativ 2'!D3</f>
        <v>Utført dato:</v>
      </c>
      <c r="E3" s="54" t="str">
        <f>'Alternativ 2'!E3</f>
        <v>Notater:</v>
      </c>
      <c r="F3" s="57">
        <f>'Alternativ 2'!F3</f>
        <v>0</v>
      </c>
      <c r="G3" s="57">
        <f>'Alternativ 2'!G3</f>
        <v>0</v>
      </c>
      <c r="H3" s="57">
        <f>'Alternativ 2'!H3</f>
        <v>0</v>
      </c>
      <c r="I3" s="57">
        <f>'Alternativ 2'!I3</f>
        <v>0</v>
      </c>
      <c r="J3" s="57">
        <f>'Alternativ 2'!J3</f>
        <v>0</v>
      </c>
      <c r="K3" s="57">
        <f>'Alternativ 2'!K3</f>
        <v>0</v>
      </c>
      <c r="L3" s="57">
        <f>'Alternativ 2'!L3</f>
        <v>0</v>
      </c>
      <c r="M3" s="57">
        <f>'Alternativ 2'!M3</f>
        <v>0</v>
      </c>
      <c r="N3" s="57">
        <f>'Alternativ 2'!N3</f>
        <v>0</v>
      </c>
      <c r="O3" s="57">
        <f>'Alternativ 2'!O3</f>
        <v>0</v>
      </c>
      <c r="P3" s="57">
        <f>'Alternativ 2'!P3</f>
        <v>0</v>
      </c>
      <c r="Q3" s="57">
        <f>'Alternativ 2'!Q3</f>
        <v>0</v>
      </c>
      <c r="R3" s="57">
        <f>'Alternativ 2'!R3</f>
        <v>0</v>
      </c>
      <c r="S3" s="57">
        <f>'Alternativ 2'!S3</f>
        <v>0</v>
      </c>
      <c r="T3" s="57">
        <f>'Alternativ 2'!T3</f>
        <v>0</v>
      </c>
      <c r="U3" s="58">
        <f>'Alternativ 2'!U3</f>
        <v>0</v>
      </c>
    </row>
    <row r="4" spans="1:21" ht="19.649999999999999" customHeight="1" x14ac:dyDescent="0.3">
      <c r="A4" s="170">
        <f>'Alternativ 2'!A4</f>
        <v>0</v>
      </c>
      <c r="B4" s="171"/>
      <c r="C4" s="172"/>
      <c r="D4" s="61">
        <f>'Alternativ 2'!D4</f>
        <v>0</v>
      </c>
      <c r="E4" s="176">
        <f>'Alternativ 2'!E4</f>
        <v>0</v>
      </c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8"/>
    </row>
    <row r="5" spans="1:21" s="55" customFormat="1" ht="14.1" customHeight="1" x14ac:dyDescent="0.25">
      <c r="A5" s="167" t="str">
        <f>'Alternativ 2'!A5</f>
        <v>Kontroll utført av:</v>
      </c>
      <c r="B5" s="168"/>
      <c r="C5" s="169"/>
      <c r="D5" s="56" t="str">
        <f>'Alternativ 2'!D5</f>
        <v>Kontroll dato:</v>
      </c>
      <c r="E5" s="176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8"/>
    </row>
    <row r="6" spans="1:21" ht="19.649999999999999" customHeight="1" x14ac:dyDescent="0.3">
      <c r="A6" s="182">
        <f>'Alternativ 2'!A6</f>
        <v>0</v>
      </c>
      <c r="B6" s="183"/>
      <c r="C6" s="184"/>
      <c r="D6" s="61">
        <f>'Alternativ 2'!D6</f>
        <v>0</v>
      </c>
      <c r="E6" s="179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1"/>
    </row>
    <row r="9" spans="1:21" ht="15.6" x14ac:dyDescent="0.3">
      <c r="C9" s="69" t="s">
        <v>54</v>
      </c>
      <c r="D9" s="70"/>
      <c r="E9" s="71"/>
      <c r="F9" s="71"/>
      <c r="G9" s="71"/>
      <c r="H9" s="71"/>
      <c r="I9" s="71"/>
      <c r="J9" s="71"/>
      <c r="K9" s="71"/>
      <c r="L9" s="71"/>
      <c r="M9" s="72"/>
    </row>
    <row r="10" spans="1:21" ht="31.2" x14ac:dyDescent="0.3">
      <c r="C10" s="73" t="s">
        <v>55</v>
      </c>
      <c r="D10" s="69" t="s">
        <v>56</v>
      </c>
      <c r="E10" s="70"/>
      <c r="F10" s="70"/>
      <c r="G10" s="70"/>
      <c r="H10" s="70"/>
      <c r="I10" s="74" t="s">
        <v>57</v>
      </c>
      <c r="J10" s="74" t="s">
        <v>58</v>
      </c>
      <c r="K10" s="74"/>
      <c r="L10" s="74" t="s">
        <v>59</v>
      </c>
      <c r="M10" s="74" t="s">
        <v>60</v>
      </c>
    </row>
    <row r="11" spans="1:21" ht="15.6" x14ac:dyDescent="0.3">
      <c r="C11" s="42" t="s">
        <v>61</v>
      </c>
      <c r="D11" s="46"/>
      <c r="E11" s="47"/>
      <c r="F11" s="47"/>
      <c r="G11" s="47"/>
      <c r="H11" s="47"/>
      <c r="I11" s="43">
        <f>SUMIF('Alternativ 2'!N$16:N$20,C11,'Alternativ 2'!L$16:L$20)</f>
        <v>0</v>
      </c>
      <c r="J11" s="44">
        <f>SUMIF('Alternativ 2'!N$16:N$20,C11,'Alternativ 2'!M$16:M$20)</f>
        <v>0</v>
      </c>
      <c r="K11" s="44"/>
      <c r="L11" s="45">
        <f>SUMIF('Alternativ 2'!N$16:N$20,C11,'Alternativ 2'!P$16:P$20)</f>
        <v>0</v>
      </c>
      <c r="M11" s="45">
        <f>SUMIF('Alternativ 2'!N$16:N$20,C11,'Alternativ 2'!Q$16:Q$20)</f>
        <v>0</v>
      </c>
    </row>
    <row r="12" spans="1:21" ht="15.6" x14ac:dyDescent="0.3">
      <c r="C12" s="42" t="s">
        <v>62</v>
      </c>
      <c r="D12" s="46"/>
      <c r="E12" s="47"/>
      <c r="F12" s="47"/>
      <c r="G12" s="47"/>
      <c r="H12" s="47"/>
      <c r="I12" s="43">
        <f>SUMIF('Alternativ 2'!N16:N20,C12,'Alternativ 2'!L16:L20)</f>
        <v>0</v>
      </c>
      <c r="J12" s="44">
        <f>SUMIF('Alternativ 2'!N$16:N$20,C12,'Alternativ 2'!M$16:M$20)</f>
        <v>0</v>
      </c>
      <c r="K12" s="44"/>
      <c r="L12" s="45">
        <f>SUMIF('Alternativ 2'!N$16:N$20,C12,'Alternativ 2'!P$16:P$20)</f>
        <v>0</v>
      </c>
      <c r="M12" s="45">
        <f>SUMIF('Alternativ 2'!N$16:N$20,C12,'Alternativ 2'!Q$16:Q$20)</f>
        <v>0</v>
      </c>
    </row>
    <row r="13" spans="1:21" ht="15.6" x14ac:dyDescent="0.3">
      <c r="C13" s="42" t="s">
        <v>63</v>
      </c>
      <c r="D13" s="46"/>
      <c r="E13" s="47"/>
      <c r="F13" s="47"/>
      <c r="G13" s="47"/>
      <c r="H13" s="47"/>
      <c r="I13" s="43">
        <f>SUMIF('Alternativ 2'!N16:N20,C13,'Alternativ 2'!L16:L20)</f>
        <v>0</v>
      </c>
      <c r="J13" s="44">
        <f>SUMIF('Alternativ 2'!N$16:N$20,C13,'Alternativ 2'!M$16:M$20)</f>
        <v>0</v>
      </c>
      <c r="K13" s="44"/>
      <c r="L13" s="45">
        <f>SUMIF('Alternativ 2'!N$16:N$20,C13,'Alternativ 2'!P$16:P$20)</f>
        <v>0</v>
      </c>
      <c r="M13" s="45">
        <f>SUMIF('Alternativ 2'!N$16:N$20,C13,'Alternativ 2'!Q$16:Q$20)</f>
        <v>0</v>
      </c>
    </row>
    <row r="14" spans="1:21" ht="15.6" x14ac:dyDescent="0.3">
      <c r="C14" s="42" t="s">
        <v>64</v>
      </c>
      <c r="D14" s="46"/>
      <c r="E14" s="47"/>
      <c r="F14" s="47"/>
      <c r="G14" s="47"/>
      <c r="H14" s="47"/>
      <c r="I14" s="43">
        <f>SUMIF('Alternativ 2'!N16:N20,C14,'Alternativ 2'!L16:L20)</f>
        <v>0</v>
      </c>
      <c r="J14" s="44">
        <f>SUMIF('Alternativ 2'!N$16:N$20,C14,'Alternativ 2'!M$16:M$20)</f>
        <v>0</v>
      </c>
      <c r="K14" s="44"/>
      <c r="L14" s="45">
        <f>SUMIF('Alternativ 2'!N$16:N$20,C14,'Alternativ 2'!P$16:P$20)</f>
        <v>0</v>
      </c>
      <c r="M14" s="45">
        <f>SUMIF('Alternativ 2'!N$16:N$20,C14,'Alternativ 2'!Q$16:Q$20)</f>
        <v>0</v>
      </c>
    </row>
    <row r="15" spans="1:21" ht="15.6" x14ac:dyDescent="0.3">
      <c r="C15" s="42" t="s">
        <v>65</v>
      </c>
      <c r="D15" s="46"/>
      <c r="E15" s="47"/>
      <c r="F15" s="47"/>
      <c r="G15" s="47"/>
      <c r="H15" s="47"/>
      <c r="I15" s="43">
        <f>SUMIF('Alternativ 2'!N17:N20,C15,'Alternativ 2'!L16:L20)</f>
        <v>0</v>
      </c>
      <c r="J15" s="44">
        <f>SUMIF('Alternativ 2'!N$16:N$20,C15,'Alternativ 2'!M$16:M$20)</f>
        <v>0</v>
      </c>
      <c r="K15" s="44"/>
      <c r="L15" s="45">
        <f>SUMIF('Alternativ 2'!N$16:N$20,C15,'Alternativ 2'!P$16:P$20)</f>
        <v>0</v>
      </c>
      <c r="M15" s="45">
        <f>SUMIF('Alternativ 2'!N$16:N$20,C15,'Alternativ 2'!Q$16:Q$20)</f>
        <v>0</v>
      </c>
    </row>
    <row r="16" spans="1:21" ht="15.6" x14ac:dyDescent="0.3">
      <c r="C16" s="42" t="s">
        <v>66</v>
      </c>
      <c r="D16" s="46"/>
      <c r="E16" s="47"/>
      <c r="F16" s="47"/>
      <c r="G16" s="47"/>
      <c r="H16" s="47"/>
      <c r="I16" s="43">
        <f>SUMIF('Alternativ 2'!N17:N20,C16,'Alternativ 2'!L16:L20)</f>
        <v>0</v>
      </c>
      <c r="J16" s="44">
        <f>SUMIF('Alternativ 2'!N$16:N$20,C16,'Alternativ 2'!M$16:M$20)</f>
        <v>0</v>
      </c>
      <c r="K16" s="44"/>
      <c r="L16" s="45">
        <f>SUMIF('Alternativ 2'!N$16:N$20,C16,'Alternativ 2'!P$16:P$20)</f>
        <v>0</v>
      </c>
      <c r="M16" s="45">
        <f>SUMIF('Alternativ 2'!N$16:N$20,C16,'Alternativ 2'!Q$16:Q$20)</f>
        <v>0</v>
      </c>
    </row>
    <row r="17" spans="3:13" ht="15.6" x14ac:dyDescent="0.3">
      <c r="C17" s="42" t="s">
        <v>67</v>
      </c>
      <c r="D17" s="46"/>
      <c r="E17" s="47"/>
      <c r="F17" s="47"/>
      <c r="G17" s="47"/>
      <c r="H17" s="47"/>
      <c r="I17" s="43">
        <f>SUMIF('Alternativ 2'!N19:N22,C17,'Alternativ 2'!L16:L20)</f>
        <v>0</v>
      </c>
      <c r="J17" s="44">
        <f>SUMIF('Alternativ 2'!N$16:N$20,C17,'Alternativ 2'!M$16:M$20)</f>
        <v>0</v>
      </c>
      <c r="K17" s="44"/>
      <c r="L17" s="45">
        <f>SUMIF('Alternativ 2'!N$16:N$20,C17,'Alternativ 2'!P$16:P$20)</f>
        <v>0</v>
      </c>
      <c r="M17" s="45">
        <f>SUMIF('Alternativ 2'!N$16:N$20,C17,'Alternativ 2'!Q$16:Q$20)</f>
        <v>0</v>
      </c>
    </row>
    <row r="18" spans="3:13" ht="15.6" x14ac:dyDescent="0.3">
      <c r="C18" s="42" t="s">
        <v>68</v>
      </c>
      <c r="D18" s="46"/>
      <c r="E18" s="47"/>
      <c r="F18" s="47"/>
      <c r="G18" s="47"/>
      <c r="H18" s="47"/>
      <c r="I18" s="43">
        <f>SUMIF('Alternativ 2'!N17:N20,C18,'Alternativ 2'!L16:L20)</f>
        <v>0</v>
      </c>
      <c r="J18" s="44">
        <f>SUMIF('Alternativ 2'!N$16:N$20,C18,'Alternativ 2'!M$16:M$20)</f>
        <v>0</v>
      </c>
      <c r="K18" s="44"/>
      <c r="L18" s="45">
        <f>SUMIF('Alternativ 2'!N$16:N$20,C18,'Alternativ 2'!P$16:P$20)</f>
        <v>0</v>
      </c>
      <c r="M18" s="45">
        <f>SUMIF('Alternativ 2'!N$16:N$20,C18,'Alternativ 2'!Q$16:Q$20)</f>
        <v>0</v>
      </c>
    </row>
    <row r="19" spans="3:13" ht="15.6" x14ac:dyDescent="0.3">
      <c r="C19" s="42" t="s">
        <v>69</v>
      </c>
      <c r="D19" s="46"/>
      <c r="E19" s="47"/>
      <c r="F19" s="47"/>
      <c r="G19" s="47"/>
      <c r="H19" s="47"/>
      <c r="I19" s="43">
        <f>SUMIF('Alternativ 2'!N17:N20,C19,'Alternativ 2'!L16:L20)</f>
        <v>0</v>
      </c>
      <c r="J19" s="44">
        <f>SUMIF('Alternativ 2'!N$16:N$20,C19,'Alternativ 2'!M$16:M$20)</f>
        <v>0</v>
      </c>
      <c r="K19" s="44"/>
      <c r="L19" s="45">
        <f>SUMIF('Alternativ 2'!N$16:N$20,C19,'Alternativ 2'!P$16:P$20)</f>
        <v>0</v>
      </c>
      <c r="M19" s="45">
        <f>SUMIF('Alternativ 2'!N$16:N$20,C19,'Alternativ 2'!Q$16:Q$20)</f>
        <v>0</v>
      </c>
    </row>
    <row r="20" spans="3:13" ht="15.6" x14ac:dyDescent="0.3">
      <c r="C20" s="42" t="s">
        <v>70</v>
      </c>
      <c r="D20" s="46"/>
      <c r="E20" s="47"/>
      <c r="F20" s="47"/>
      <c r="G20" s="47"/>
      <c r="H20" s="47"/>
      <c r="I20" s="43">
        <f>SUMIF('Alternativ 2'!N17:N20,C20,'Alternativ 2'!L16:L20)</f>
        <v>0</v>
      </c>
      <c r="J20" s="44">
        <f>SUMIF('Alternativ 2'!N$16:N$20,C20,'Alternativ 2'!M$16:M$20)</f>
        <v>0</v>
      </c>
      <c r="K20" s="44"/>
      <c r="L20" s="45">
        <f>SUMIF('Alternativ 2'!N$16:N$20,C20,'Alternativ 2'!P$16:P$20)</f>
        <v>0</v>
      </c>
      <c r="M20" s="45">
        <f>SUMIF('Alternativ 2'!N$16:N$20,C20,'Alternativ 2'!Q$16:Q$20)</f>
        <v>0</v>
      </c>
    </row>
    <row r="21" spans="3:13" ht="16.2" thickBot="1" x14ac:dyDescent="0.35">
      <c r="C21" s="36"/>
      <c r="D21" s="37" t="s">
        <v>71</v>
      </c>
      <c r="E21" s="38"/>
      <c r="F21" s="38"/>
      <c r="G21" s="38"/>
      <c r="H21" s="38"/>
      <c r="I21" s="39">
        <f>+SUM(I11:I20)</f>
        <v>0</v>
      </c>
      <c r="J21" s="40">
        <f>+SUM(J11:J20)</f>
        <v>0</v>
      </c>
      <c r="K21" s="40"/>
      <c r="L21" s="41">
        <f>+SUM(L11:L20)</f>
        <v>0</v>
      </c>
      <c r="M21" s="41">
        <f>+SUM(M11:M20)</f>
        <v>0</v>
      </c>
    </row>
    <row r="22" spans="3:13" ht="15" thickTop="1" x14ac:dyDescent="0.3"/>
  </sheetData>
  <mergeCells count="8">
    <mergeCell ref="E1:T1"/>
    <mergeCell ref="A2:C2"/>
    <mergeCell ref="E2:T2"/>
    <mergeCell ref="A3:C3"/>
    <mergeCell ref="A4:C4"/>
    <mergeCell ref="E4:U6"/>
    <mergeCell ref="A5:C5"/>
    <mergeCell ref="A6:C6"/>
  </mergeCells>
  <conditionalFormatting sqref="A1:U6">
    <cfRule type="cellIs" dxfId="0" priority="1" operator="equal">
      <formula>0</formula>
    </cfRule>
  </conditionalFormatting>
  <dataValidations disablePrompts="1" count="1">
    <dataValidation type="list" errorStyle="warning" allowBlank="1" showInputMessage="1" showErrorMessage="1" errorTitle="Husk Systemnummer" sqref="N8:N15" xr:uid="{D54AF4AC-2BBF-4B93-BE3C-21D85423C13F}">
      <formula1>#REF!</formula1>
    </dataValidation>
  </dataValidations>
  <pageMargins left="0.23622047244094491" right="0.23622047244094491" top="0.74803149606299213" bottom="0.74803149606299213" header="0.31496062992125984" footer="0.31496062992125984"/>
  <pageSetup paperSize="8" scale="85" fitToHeight="0" orientation="landscape" r:id="rId1"/>
  <headerFooter>
    <oddHeader xml:space="preserve">&amp;L&amp;"Space Grotesk,Normal"&amp;20&amp;K00408ELuftmengdeberegning&amp;R&amp;G
</oddHeader>
    <oddFooter>&amp;L&amp;8&amp;K454545Dokumentansvarlig: Erlend Reinfjord&amp;C&amp;8&amp;K454545Godkjent av: Petter Helland&amp;RSide &amp;P/&amp;N
&amp;8&amp;K454545Rev. nr. og dato: Rev D – 01.07.2024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81e172-41af-44b0-ba4a-22cb87063e41" xsi:nil="true"/>
    <CreatedFromTemplate xmlns="3581e172-41af-44b0-ba4a-22cb87063e41">true</CreatedFromTemplate>
    <ContactPersonCompany xmlns="3581e172-41af-44b0-ba4a-22cb87063e41" xsi:nil="true"/>
    <DocLink xmlns="3581e172-41af-44b0-ba4a-22cb87063e41" xsi:nil="true"/>
    <ConversationIndex xmlns="3581e172-41af-44b0-ba4a-22cb87063e41" xsi:nil="true"/>
    <ConversationID xmlns="3581e172-41af-44b0-ba4a-22cb87063e41" xsi:nil="true"/>
    <ContactPersonID xmlns="3581e172-41af-44b0-ba4a-22cb87063e41" xsi:nil="true"/>
    <MailDate xmlns="3581e172-41af-44b0-ba4a-22cb87063e41" xsi:nil="true"/>
    <SiteNo xmlns="3581e172-41af-44b0-ba4a-22cb87063e41" xsi:nil="true"/>
    <EmailPreview xmlns="3581e172-41af-44b0-ba4a-22cb87063e41" xsi:nil="true"/>
    <DocumentDescription xmlns="3581e172-41af-44b0-ba4a-22cb87063e41" xsi:nil="true"/>
    <DocumentType xmlns="3581e172-41af-44b0-ba4a-22cb87063e41" xsi:nil="true"/>
    <ContactPerson xmlns="3581e172-41af-44b0-ba4a-22cb87063e41" xsi:nil="true"/>
    <ContactPersonCompanyID xmlns="3581e172-41af-44b0-ba4a-22cb87063e41" xsi:nil="true"/>
    <Direction xmlns="3581e172-41af-44b0-ba4a-22cb87063e41" xsi:nil="true"/>
    <ConversationTopic xmlns="3581e172-41af-44b0-ba4a-22cb87063e41" xsi:nil="true"/>
    <ParentFolderElements xmlns="aeac6c05-45c5-44e0-8e32-7136d255d80d">
      <Value>35</Value>
      <Value>36</Value>
    </ParentFolderElements>
    <b1062a5c3e894ee09998844bb91b3510 xmlns="3581e172-41af-44b0-ba4a-22cb87063e41">
      <Terms xmlns="http://schemas.microsoft.com/office/infopath/2007/PartnerControls"/>
    </b1062a5c3e894ee09998844bb91b351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Prosjektdokument" ma:contentTypeID="0x0101007E63D38AC822B5408E38470F09011B50003817EDDE83B07044A3910960864C5AC5" ma:contentTypeVersion="7" ma:contentTypeDescription="Opprett et nytt dokument." ma:contentTypeScope="" ma:versionID="8bc52a538f59ec3afdbde2ded3f62bda">
  <xsd:schema xmlns:xsd="http://www.w3.org/2001/XMLSchema" xmlns:xs="http://www.w3.org/2001/XMLSchema" xmlns:p="http://schemas.microsoft.com/office/2006/metadata/properties" xmlns:ns2="3581e172-41af-44b0-ba4a-22cb87063e41" xmlns:ns3="aeac6c05-45c5-44e0-8e32-7136d255d80d" xmlns:ns4="3c28f677-d275-497c-b3ef-8bde8512fe01" targetNamespace="http://schemas.microsoft.com/office/2006/metadata/properties" ma:root="true" ma:fieldsID="61032bb0ac79b8fd20505d7623f1b791" ns2:_="" ns3:_="" ns4:_="">
    <xsd:import namespace="3581e172-41af-44b0-ba4a-22cb87063e41"/>
    <xsd:import namespace="aeac6c05-45c5-44e0-8e32-7136d255d80d"/>
    <xsd:import namespace="3c28f677-d275-497c-b3ef-8bde8512fe01"/>
    <xsd:element name="properties">
      <xsd:complexType>
        <xsd:sequence>
          <xsd:element name="documentManagement">
            <xsd:complexType>
              <xsd:all>
                <xsd:element ref="ns2:b1062a5c3e894ee09998844bb91b3510" minOccurs="0"/>
                <xsd:element ref="ns2:TaxCatchAll" minOccurs="0"/>
                <xsd:element ref="ns2:TaxCatchAllLabel" minOccurs="0"/>
                <xsd:element ref="ns2:DocumentType" minOccurs="0"/>
                <xsd:element ref="ns2:ContactPerson" minOccurs="0"/>
                <xsd:element ref="ns2:ContactPersonCompany" minOccurs="0"/>
                <xsd:element ref="ns2:ContactPersonCompanyID" minOccurs="0"/>
                <xsd:element ref="ns2:ContactPersonID" minOccurs="0"/>
                <xsd:element ref="ns2:DocumentDescription" minOccurs="0"/>
                <xsd:element ref="ns2:MailDate" minOccurs="0"/>
                <xsd:element ref="ns2:Direction" minOccurs="0"/>
                <xsd:element ref="ns2:DocLink" minOccurs="0"/>
                <xsd:element ref="ns2:ConversationIndex" minOccurs="0"/>
                <xsd:element ref="ns2:ConversationID" minOccurs="0"/>
                <xsd:element ref="ns2:ConversationTopic" minOccurs="0"/>
                <xsd:element ref="ns2:SiteNo" minOccurs="0"/>
                <xsd:element ref="ns2:EmailPreview" minOccurs="0"/>
                <xsd:element ref="ns2:CreatedFromTemplate" minOccurs="0"/>
                <xsd:element ref="ns3:ParentFolderElements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1e172-41af-44b0-ba4a-22cb87063e41" elementFormDefault="qualified">
    <xsd:import namespace="http://schemas.microsoft.com/office/2006/documentManagement/types"/>
    <xsd:import namespace="http://schemas.microsoft.com/office/infopath/2007/PartnerControls"/>
    <xsd:element name="b1062a5c3e894ee09998844bb91b3510" ma:index="8" nillable="true" ma:taxonomy="true" ma:internalName="b1062a5c3e894ee09998844bb91b3510" ma:taxonomyFieldName="DocumentContent" ma:displayName="Dokumentinnhold" ma:fieldId="{b1062a5c-3e89-4ee0-9998-844bb91b3510}" ma:sspId="bc7b57ef-fedc-4d19-9cee-f9597f515651" ma:termSetId="f92060b3-23a3-44a1-a427-53d2df889670" ma:anchorId="7a32cfa6-aa8f-47ec-81e6-e23ff5c05324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c2a435df-014c-4bed-8f76-591f03a8071a}" ma:internalName="TaxCatchAll" ma:showField="CatchAllData" ma:web="3581e172-41af-44b0-ba4a-22cb87063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c2a435df-014c-4bed-8f76-591f03a8071a}" ma:internalName="TaxCatchAllLabel" ma:readOnly="true" ma:showField="CatchAllDataLabel" ma:web="3581e172-41af-44b0-ba4a-22cb87063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ype" ma:index="12" nillable="true" ma:displayName="Dokumenttype" ma:internalName="DocumentType">
      <xsd:simpleType>
        <xsd:restriction base="dms:Choice">
          <xsd:enumeration value="E-post"/>
          <xsd:enumeration value="Dokument"/>
          <xsd:enumeration value="Regneark"/>
          <xsd:enumeration value="PDF"/>
          <xsd:enumeration value="Presentasjon"/>
          <xsd:enumeration value="Bilde"/>
          <xsd:enumeration value="Skjema"/>
          <xsd:enumeration value="Tegning"/>
        </xsd:restriction>
      </xsd:simpleType>
    </xsd:element>
    <xsd:element name="ContactPerson" ma:index="13" nillable="true" ma:displayName="Kontaktperson" ma:internalName="ContactPerson">
      <xsd:simpleType>
        <xsd:restriction base="dms:Text">
          <xsd:maxLength value="255"/>
        </xsd:restriction>
      </xsd:simpleType>
    </xsd:element>
    <xsd:element name="ContactPersonCompany" ma:index="14" nillable="true" ma:displayName="Kontaktperson selskap" ma:internalName="ContactPersonCompany">
      <xsd:simpleType>
        <xsd:restriction base="dms:Text">
          <xsd:maxLength value="255"/>
        </xsd:restriction>
      </xsd:simpleType>
    </xsd:element>
    <xsd:element name="ContactPersonCompanyID" ma:index="15" nillable="true" ma:displayName="Kontaktperson selskap ID" ma:internalName="ContactPersonCompanyID">
      <xsd:simpleType>
        <xsd:restriction base="dms:Text">
          <xsd:maxLength value="255"/>
        </xsd:restriction>
      </xsd:simpleType>
    </xsd:element>
    <xsd:element name="ContactPersonID" ma:index="16" nillable="true" ma:displayName="Kontaktperson ID" ma:internalName="ContactPersonID">
      <xsd:simpleType>
        <xsd:restriction base="dms:Text">
          <xsd:maxLength value="255"/>
        </xsd:restriction>
      </xsd:simpleType>
    </xsd:element>
    <xsd:element name="DocumentDescription" ma:index="17" nillable="true" ma:displayName="Dokumentbeskrivelse" ma:internalName="DocumentDescription">
      <xsd:simpleType>
        <xsd:restriction base="dms:Note"/>
      </xsd:simpleType>
    </xsd:element>
    <xsd:element name="MailDate" ma:index="18" nillable="true" ma:displayName="E-post dato" ma:format="DateTime" ma:internalName="MailDate">
      <xsd:simpleType>
        <xsd:restriction base="dms:DateTime"/>
      </xsd:simpleType>
    </xsd:element>
    <xsd:element name="Direction" ma:index="19" nillable="true" ma:displayName="E-postretning" ma:internalName="Direction">
      <xsd:simpleType>
        <xsd:restriction base="dms:Choice">
          <xsd:enumeration value="Inngående"/>
          <xsd:enumeration value="Utgående"/>
        </xsd:restriction>
      </xsd:simpleType>
    </xsd:element>
    <xsd:element name="DocLink" ma:index="20" nillable="true" ma:displayName="Dokumentlink" ma:internalName="DocLink">
      <xsd:simpleType>
        <xsd:restriction base="dms:Note"/>
      </xsd:simpleType>
    </xsd:element>
    <xsd:element name="ConversationIndex" ma:index="21" nillable="true" ma:displayName="ConversationIndex" ma:internalName="ConversationIndex">
      <xsd:simpleType>
        <xsd:restriction base="dms:Text"/>
      </xsd:simpleType>
    </xsd:element>
    <xsd:element name="ConversationID" ma:index="22" nillable="true" ma:displayName="Samtale" ma:internalName="ConversationID">
      <xsd:simpleType>
        <xsd:restriction base="dms:Text"/>
      </xsd:simpleType>
    </xsd:element>
    <xsd:element name="ConversationTopic" ma:index="23" nillable="true" ma:displayName="Samtale emne" ma:internalName="ConversationTopic">
      <xsd:simpleType>
        <xsd:restriction base="dms:Text"/>
      </xsd:simpleType>
    </xsd:element>
    <xsd:element name="SiteNo" ma:index="24" nillable="true" ma:displayName="Prosjekt nr" ma:internalName="SiteNo">
      <xsd:simpleType>
        <xsd:restriction base="dms:Text">
          <xsd:maxLength value="255"/>
        </xsd:restriction>
      </xsd:simpleType>
    </xsd:element>
    <xsd:element name="EmailPreview" ma:index="25" nillable="true" ma:displayName="EmailPreview" ma:internalName="EmailPreview">
      <xsd:simpleType>
        <xsd:restriction base="dms:Note"/>
      </xsd:simpleType>
    </xsd:element>
    <xsd:element name="CreatedFromTemplate" ma:index="26" nillable="true" ma:displayName="CreatedFromTemplate" ma:default="0" ma:internalName="CreatedFromTemplat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ac6c05-45c5-44e0-8e32-7136d255d80d" elementFormDefault="qualified">
    <xsd:import namespace="http://schemas.microsoft.com/office/2006/documentManagement/types"/>
    <xsd:import namespace="http://schemas.microsoft.com/office/infopath/2007/PartnerControls"/>
    <xsd:element name="ParentFolderElements" ma:index="27" nillable="true" ma:displayName="Mapperelasjoner" ma:list="{0d3b222f-1a5b-417d-ac50-70f4308a60e0}" ma:internalName="ParentFolderElements" ma:showField="Title" ma:web="{aeac6c05-45c5-44e0-8e32-7136d255d80d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8f677-d275-497c-b3ef-8bde8512f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5A84ED-3C25-4252-9C95-A33BB167C0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FFA5F3-3B14-434A-B023-521413400284}">
  <ds:schemaRefs>
    <ds:schemaRef ds:uri="http://schemas.microsoft.com/office/2006/metadata/properties"/>
    <ds:schemaRef ds:uri="http://schemas.microsoft.com/office/infopath/2007/PartnerControls"/>
    <ds:schemaRef ds:uri="3581e172-41af-44b0-ba4a-22cb87063e41"/>
    <ds:schemaRef ds:uri="aeac6c05-45c5-44e0-8e32-7136d255d80d"/>
  </ds:schemaRefs>
</ds:datastoreItem>
</file>

<file path=customXml/itemProps3.xml><?xml version="1.0" encoding="utf-8"?>
<ds:datastoreItem xmlns:ds="http://schemas.openxmlformats.org/officeDocument/2006/customXml" ds:itemID="{F9ADEC21-D42F-4730-BE3C-D3B80E2BF5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81e172-41af-44b0-ba4a-22cb87063e41"/>
    <ds:schemaRef ds:uri="aeac6c05-45c5-44e0-8e32-7136d255d80d"/>
    <ds:schemaRef ds:uri="3c28f677-d275-497c-b3ef-8bde8512fe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Navngitte områder</vt:lpstr>
      </vt:variant>
      <vt:variant>
        <vt:i4>2</vt:i4>
      </vt:variant>
    </vt:vector>
  </HeadingPairs>
  <TitlesOfParts>
    <vt:vector size="5" baseType="lpstr">
      <vt:lpstr>Alternativ 1</vt:lpstr>
      <vt:lpstr>Alternativ 2</vt:lpstr>
      <vt:lpstr>Sum Ventilasjonssystem</vt:lpstr>
      <vt:lpstr>'Alternativ 1'!Utskriftstitler</vt:lpstr>
      <vt:lpstr>'Alternativ 2'!Utskriftstitler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Luftmengdeberegning</dc:title>
  <dc:subject/>
  <dc:creator>Administrator;Bjørnulf Hannevold</dc:creator>
  <cp:keywords/>
  <dc:description/>
  <cp:lastModifiedBy>Albanin Istrefi</cp:lastModifiedBy>
  <cp:revision/>
  <dcterms:created xsi:type="dcterms:W3CDTF">2014-01-23T12:44:01Z</dcterms:created>
  <dcterms:modified xsi:type="dcterms:W3CDTF">2026-01-04T16:13:17Z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0x0101007E63D38AC822B5408E38470F09011B50003817EDDE83B07044A3910960864C5AC5</vt:lpwstr>
  </property>
  <property fmtid="{D5CDD505-2E9C-101B-9397-08002B2CF9AE}" pid="3" name="DocumentContent">
    <vt:lpwstr/>
  </property>
  <property fmtid="{D5CDD505-2E9C-101B-9397-08002B2CF9AE}" pid="4" name="Dokumenttype2">
    <vt:lpwstr>M - Mal</vt:lpwstr>
  </property>
  <property fmtid="{D5CDD505-2E9C-101B-9397-08002B2CF9AE}" pid="5" name="AuthorIds_UIVersion_1035">
    <vt:lpwstr>25</vt:lpwstr>
  </property>
  <property fmtid="{D5CDD505-2E9C-101B-9397-08002B2CF9AE}" pid="6" name="AuthorIds_UIVersion_1042">
    <vt:lpwstr>25</vt:lpwstr>
  </property>
</Properties>
</file>